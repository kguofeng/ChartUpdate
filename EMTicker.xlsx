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 codeName="ThisWorkbook"/>
  <mc:AlternateContent xmlns:mc="http://schemas.openxmlformats.org/markup-compatibility/2006">
    <mc:Choice Requires="x15">
      <x15ac:absPath xmlns:x15ac="http://schemas.microsoft.com/office/spreadsheetml/2010/11/ac" url="O:\Tian\Portal\Charts\ChartUpdate\"/>
    </mc:Choice>
  </mc:AlternateContent>
  <xr:revisionPtr revIDLastSave="0" documentId="13_ncr:1_{A981C1A1-5C2A-482A-9524-987177D53214}" xr6:coauthVersionLast="36" xr6:coauthVersionMax="36" xr10:uidLastSave="{00000000-0000-0000-0000-000000000000}"/>
  <bookViews>
    <workbookView xWindow="480" yWindow="60" windowWidth="18192" windowHeight="8508" activeTab="5" xr2:uid="{00000000-000D-0000-FFFF-FFFF00000000}"/>
  </bookViews>
  <sheets>
    <sheet name="Sheet1" sheetId="1" r:id="rId1"/>
    <sheet name="Exante" sheetId="2" r:id="rId2"/>
    <sheet name="BbgEcon" sheetId="3" r:id="rId3"/>
    <sheet name="BbgExport" sheetId="4" r:id="rId4"/>
    <sheet name="BbgCreditIm" sheetId="5" r:id="rId5"/>
    <sheet name="BbgEcon Latest" sheetId="6" r:id="rId6"/>
  </sheets>
  <calcPr calcId="191029" calcMode="manual" calcCompleted="0" calcOnSave="0"/>
</workbook>
</file>

<file path=xl/calcChain.xml><?xml version="1.0" encoding="utf-8"?>
<calcChain xmlns="http://schemas.openxmlformats.org/spreadsheetml/2006/main">
  <c r="O34" i="6" l="1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Z12" i="3"/>
  <c r="AZ11" i="3"/>
  <c r="AZ10" i="3"/>
  <c r="AZ9" i="3"/>
  <c r="AZ8" i="3"/>
  <c r="AZ7" i="3"/>
  <c r="AZ6" i="3"/>
  <c r="AZ5" i="3"/>
  <c r="AZ4" i="3"/>
  <c r="AZ3" i="3"/>
  <c r="BL39" i="3"/>
  <c r="BL38" i="3"/>
  <c r="BL37" i="3"/>
  <c r="BL36" i="3"/>
  <c r="BL35" i="3"/>
  <c r="BL34" i="3"/>
  <c r="BL33" i="3"/>
  <c r="BL32" i="3"/>
  <c r="BL31" i="3"/>
  <c r="BL30" i="3"/>
  <c r="BL29" i="3"/>
  <c r="BL28" i="3"/>
  <c r="BL27" i="3"/>
  <c r="BL26" i="3"/>
  <c r="BL25" i="3"/>
  <c r="BL24" i="3"/>
  <c r="BL23" i="3"/>
  <c r="BL22" i="3"/>
  <c r="BL21" i="3"/>
  <c r="BL20" i="3"/>
  <c r="BL19" i="3"/>
  <c r="BL18" i="3"/>
  <c r="BL17" i="3"/>
  <c r="BL16" i="3"/>
  <c r="BL15" i="3"/>
  <c r="BL14" i="3"/>
  <c r="BL13" i="3"/>
  <c r="BL12" i="3"/>
  <c r="BL11" i="3"/>
  <c r="BL10" i="3"/>
  <c r="BL9" i="3"/>
  <c r="BL8" i="3"/>
  <c r="BL7" i="3"/>
  <c r="BL6" i="3"/>
  <c r="BL5" i="3"/>
  <c r="BL4" i="3"/>
  <c r="BL3" i="3"/>
  <c r="H13" i="2" l="1"/>
  <c r="F33" i="2"/>
  <c r="H33" i="2"/>
  <c r="F29" i="2"/>
  <c r="H29" i="2"/>
  <c r="BK39" i="3" l="1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BK22" i="3"/>
  <c r="BK21" i="3"/>
  <c r="BK20" i="3"/>
  <c r="BK19" i="3"/>
  <c r="BK18" i="3"/>
  <c r="BK17" i="3"/>
  <c r="BK16" i="3"/>
  <c r="BK15" i="3"/>
  <c r="BK14" i="3"/>
  <c r="BK13" i="3"/>
  <c r="BK12" i="3"/>
  <c r="BK11" i="3"/>
  <c r="BK10" i="3"/>
  <c r="BK9" i="3"/>
  <c r="BK8" i="3"/>
  <c r="BK7" i="3"/>
  <c r="BK6" i="3"/>
  <c r="BK5" i="3"/>
  <c r="BK4" i="3"/>
  <c r="BK3" i="3"/>
  <c r="AY39" i="3"/>
  <c r="AY38" i="3"/>
  <c r="AY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AY3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O4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3" i="3"/>
  <c r="BJ39" i="3" l="1"/>
  <c r="BI39" i="3"/>
  <c r="BH39" i="3"/>
  <c r="BG39" i="3"/>
  <c r="BF39" i="3"/>
  <c r="BE39" i="3"/>
  <c r="BD39" i="3"/>
  <c r="BC39" i="3"/>
  <c r="BB39" i="3"/>
  <c r="BA39" i="3"/>
  <c r="AX39" i="3"/>
  <c r="AW39" i="3"/>
  <c r="AV39" i="3"/>
  <c r="AU39" i="3"/>
  <c r="AT39" i="3"/>
  <c r="AS39" i="3"/>
  <c r="AR39" i="3"/>
  <c r="AQ39" i="3"/>
  <c r="AP39" i="3"/>
  <c r="AO39" i="3"/>
  <c r="AL39" i="3"/>
  <c r="AK39" i="3"/>
  <c r="AJ39" i="3"/>
  <c r="AI39" i="3"/>
  <c r="AH39" i="3"/>
  <c r="AG39" i="3"/>
  <c r="AF39" i="3"/>
  <c r="AE39" i="3"/>
  <c r="AD39" i="3"/>
  <c r="AC39" i="3"/>
  <c r="Z39" i="3"/>
  <c r="Y39" i="3"/>
  <c r="X39" i="3"/>
  <c r="W39" i="3"/>
  <c r="V39" i="3"/>
  <c r="U39" i="3"/>
  <c r="T39" i="3"/>
  <c r="S39" i="3"/>
  <c r="R39" i="3"/>
  <c r="Q39" i="3"/>
  <c r="N39" i="3"/>
  <c r="M39" i="3"/>
  <c r="L39" i="3"/>
  <c r="K39" i="3"/>
  <c r="J39" i="3"/>
  <c r="I39" i="3"/>
  <c r="H39" i="3"/>
  <c r="G39" i="3"/>
  <c r="F39" i="3"/>
  <c r="E39" i="3"/>
  <c r="BJ38" i="3"/>
  <c r="BI38" i="3"/>
  <c r="BH38" i="3"/>
  <c r="BG38" i="3"/>
  <c r="BF38" i="3"/>
  <c r="BE38" i="3"/>
  <c r="BD38" i="3"/>
  <c r="BC38" i="3"/>
  <c r="BB38" i="3"/>
  <c r="BA38" i="3"/>
  <c r="AX38" i="3"/>
  <c r="AW38" i="3"/>
  <c r="AV38" i="3"/>
  <c r="AU38" i="3"/>
  <c r="AT38" i="3"/>
  <c r="AS38" i="3"/>
  <c r="AR38" i="3"/>
  <c r="AQ38" i="3"/>
  <c r="AP38" i="3"/>
  <c r="AO38" i="3"/>
  <c r="AL38" i="3"/>
  <c r="AK38" i="3"/>
  <c r="AJ38" i="3"/>
  <c r="AI38" i="3"/>
  <c r="AH38" i="3"/>
  <c r="AG38" i="3"/>
  <c r="AF38" i="3"/>
  <c r="AE38" i="3"/>
  <c r="AD38" i="3"/>
  <c r="AC38" i="3"/>
  <c r="Z38" i="3"/>
  <c r="Y38" i="3"/>
  <c r="X38" i="3"/>
  <c r="W38" i="3"/>
  <c r="V38" i="3"/>
  <c r="U38" i="3"/>
  <c r="T38" i="3"/>
  <c r="S38" i="3"/>
  <c r="R38" i="3"/>
  <c r="Q38" i="3"/>
  <c r="N38" i="3"/>
  <c r="M38" i="3"/>
  <c r="L38" i="3"/>
  <c r="K38" i="3"/>
  <c r="J38" i="3"/>
  <c r="I38" i="3"/>
  <c r="H38" i="3"/>
  <c r="G38" i="3"/>
  <c r="F38" i="3"/>
  <c r="E38" i="3"/>
  <c r="BJ37" i="3"/>
  <c r="BI37" i="3"/>
  <c r="BH37" i="3"/>
  <c r="BG37" i="3"/>
  <c r="BF37" i="3"/>
  <c r="BE37" i="3"/>
  <c r="BD37" i="3"/>
  <c r="BC37" i="3"/>
  <c r="BB37" i="3"/>
  <c r="BA37" i="3"/>
  <c r="AX37" i="3"/>
  <c r="AW37" i="3"/>
  <c r="AV37" i="3"/>
  <c r="AU37" i="3"/>
  <c r="AT37" i="3"/>
  <c r="AS37" i="3"/>
  <c r="AR37" i="3"/>
  <c r="AQ37" i="3"/>
  <c r="AP37" i="3"/>
  <c r="AO37" i="3"/>
  <c r="AL37" i="3"/>
  <c r="AK37" i="3"/>
  <c r="AJ37" i="3"/>
  <c r="AI37" i="3"/>
  <c r="AH37" i="3"/>
  <c r="AG37" i="3"/>
  <c r="AF37" i="3"/>
  <c r="AE37" i="3"/>
  <c r="AD37" i="3"/>
  <c r="AC37" i="3"/>
  <c r="Z37" i="3"/>
  <c r="Y37" i="3"/>
  <c r="X37" i="3"/>
  <c r="W37" i="3"/>
  <c r="V37" i="3"/>
  <c r="U37" i="3"/>
  <c r="T37" i="3"/>
  <c r="S37" i="3"/>
  <c r="R37" i="3"/>
  <c r="Q37" i="3"/>
  <c r="N37" i="3"/>
  <c r="M37" i="3"/>
  <c r="L37" i="3"/>
  <c r="K37" i="3"/>
  <c r="J37" i="3"/>
  <c r="I37" i="3"/>
  <c r="H37" i="3"/>
  <c r="G37" i="3"/>
  <c r="F37" i="3"/>
  <c r="E37" i="3"/>
  <c r="BJ36" i="3"/>
  <c r="BI36" i="3"/>
  <c r="BH36" i="3"/>
  <c r="BG36" i="3"/>
  <c r="BF36" i="3"/>
  <c r="BE36" i="3"/>
  <c r="BD36" i="3"/>
  <c r="BC36" i="3"/>
  <c r="BB36" i="3"/>
  <c r="BA36" i="3"/>
  <c r="AX36" i="3"/>
  <c r="AW36" i="3"/>
  <c r="AV36" i="3"/>
  <c r="AU36" i="3"/>
  <c r="AT36" i="3"/>
  <c r="AS36" i="3"/>
  <c r="AR36" i="3"/>
  <c r="AQ36" i="3"/>
  <c r="AP36" i="3"/>
  <c r="AO36" i="3"/>
  <c r="AL36" i="3"/>
  <c r="AK36" i="3"/>
  <c r="AJ36" i="3"/>
  <c r="AI36" i="3"/>
  <c r="AH36" i="3"/>
  <c r="AG36" i="3"/>
  <c r="AF36" i="3"/>
  <c r="AE36" i="3"/>
  <c r="AD36" i="3"/>
  <c r="AC36" i="3"/>
  <c r="Z36" i="3"/>
  <c r="Y36" i="3"/>
  <c r="X36" i="3"/>
  <c r="W36" i="3"/>
  <c r="V36" i="3"/>
  <c r="U36" i="3"/>
  <c r="T36" i="3"/>
  <c r="S36" i="3"/>
  <c r="R36" i="3"/>
  <c r="Q36" i="3"/>
  <c r="N36" i="3"/>
  <c r="M36" i="3"/>
  <c r="L36" i="3"/>
  <c r="K36" i="3"/>
  <c r="J36" i="3"/>
  <c r="I36" i="3"/>
  <c r="H36" i="3"/>
  <c r="G36" i="3"/>
  <c r="F36" i="3"/>
  <c r="E36" i="3"/>
  <c r="BJ35" i="3"/>
  <c r="BI35" i="3"/>
  <c r="BH35" i="3"/>
  <c r="BG35" i="3"/>
  <c r="BF35" i="3"/>
  <c r="BE35" i="3"/>
  <c r="BD35" i="3"/>
  <c r="BC35" i="3"/>
  <c r="BB35" i="3"/>
  <c r="BA35" i="3"/>
  <c r="AX35" i="3"/>
  <c r="AW35" i="3"/>
  <c r="AV35" i="3"/>
  <c r="AU35" i="3"/>
  <c r="AT35" i="3"/>
  <c r="AS35" i="3"/>
  <c r="AR35" i="3"/>
  <c r="AQ35" i="3"/>
  <c r="AP35" i="3"/>
  <c r="AO35" i="3"/>
  <c r="AL35" i="3"/>
  <c r="AK35" i="3"/>
  <c r="AJ35" i="3"/>
  <c r="AI35" i="3"/>
  <c r="AH35" i="3"/>
  <c r="AG35" i="3"/>
  <c r="AF35" i="3"/>
  <c r="AE35" i="3"/>
  <c r="AD35" i="3"/>
  <c r="AC35" i="3"/>
  <c r="Z35" i="3"/>
  <c r="Y35" i="3"/>
  <c r="X35" i="3"/>
  <c r="W35" i="3"/>
  <c r="V35" i="3"/>
  <c r="U35" i="3"/>
  <c r="T35" i="3"/>
  <c r="S35" i="3"/>
  <c r="R35" i="3"/>
  <c r="Q35" i="3"/>
  <c r="N35" i="3"/>
  <c r="M35" i="3"/>
  <c r="L35" i="3"/>
  <c r="K35" i="3"/>
  <c r="J35" i="3"/>
  <c r="I35" i="3"/>
  <c r="H35" i="3"/>
  <c r="G35" i="3"/>
  <c r="F35" i="3"/>
  <c r="E35" i="3"/>
  <c r="BJ34" i="3"/>
  <c r="BI34" i="3"/>
  <c r="BH34" i="3"/>
  <c r="BG34" i="3"/>
  <c r="BF34" i="3"/>
  <c r="BE34" i="3"/>
  <c r="BD34" i="3"/>
  <c r="BC34" i="3"/>
  <c r="BB34" i="3"/>
  <c r="BA34" i="3"/>
  <c r="AX34" i="3"/>
  <c r="AW34" i="3"/>
  <c r="AV34" i="3"/>
  <c r="AU34" i="3"/>
  <c r="AT34" i="3"/>
  <c r="AS34" i="3"/>
  <c r="AR34" i="3"/>
  <c r="AQ34" i="3"/>
  <c r="AP34" i="3"/>
  <c r="AO34" i="3"/>
  <c r="AL34" i="3"/>
  <c r="AK34" i="3"/>
  <c r="AJ34" i="3"/>
  <c r="AI34" i="3"/>
  <c r="AH34" i="3"/>
  <c r="AG34" i="3"/>
  <c r="AF34" i="3"/>
  <c r="AE34" i="3"/>
  <c r="AD34" i="3"/>
  <c r="AC34" i="3"/>
  <c r="Z34" i="3"/>
  <c r="Y34" i="3"/>
  <c r="X34" i="3"/>
  <c r="W34" i="3"/>
  <c r="V34" i="3"/>
  <c r="U34" i="3"/>
  <c r="T34" i="3"/>
  <c r="S34" i="3"/>
  <c r="R34" i="3"/>
  <c r="Q34" i="3"/>
  <c r="N34" i="3"/>
  <c r="M34" i="3"/>
  <c r="L34" i="3"/>
  <c r="K34" i="3"/>
  <c r="J34" i="3"/>
  <c r="I34" i="3"/>
  <c r="H34" i="3"/>
  <c r="G34" i="3"/>
  <c r="F34" i="3"/>
  <c r="E34" i="3"/>
  <c r="BJ33" i="3"/>
  <c r="BI33" i="3"/>
  <c r="BH33" i="3"/>
  <c r="BG33" i="3"/>
  <c r="BF33" i="3"/>
  <c r="BE33" i="3"/>
  <c r="BD33" i="3"/>
  <c r="BC33" i="3"/>
  <c r="BB33" i="3"/>
  <c r="BA33" i="3"/>
  <c r="AX33" i="3"/>
  <c r="AW33" i="3"/>
  <c r="AV33" i="3"/>
  <c r="AU33" i="3"/>
  <c r="AT33" i="3"/>
  <c r="AS33" i="3"/>
  <c r="AR33" i="3"/>
  <c r="AQ33" i="3"/>
  <c r="AP33" i="3"/>
  <c r="AO33" i="3"/>
  <c r="AL33" i="3"/>
  <c r="AK33" i="3"/>
  <c r="AJ33" i="3"/>
  <c r="AI33" i="3"/>
  <c r="AH33" i="3"/>
  <c r="AG33" i="3"/>
  <c r="AF33" i="3"/>
  <c r="AE33" i="3"/>
  <c r="AD33" i="3"/>
  <c r="AC33" i="3"/>
  <c r="Z33" i="3"/>
  <c r="Y33" i="3"/>
  <c r="X33" i="3"/>
  <c r="W33" i="3"/>
  <c r="V33" i="3"/>
  <c r="U33" i="3"/>
  <c r="T33" i="3"/>
  <c r="S33" i="3"/>
  <c r="R33" i="3"/>
  <c r="Q33" i="3"/>
  <c r="N33" i="3"/>
  <c r="M33" i="3"/>
  <c r="L33" i="3"/>
  <c r="K33" i="3"/>
  <c r="J33" i="3"/>
  <c r="I33" i="3"/>
  <c r="H33" i="3"/>
  <c r="G33" i="3"/>
  <c r="F33" i="3"/>
  <c r="E33" i="3"/>
  <c r="BJ32" i="3"/>
  <c r="BI32" i="3"/>
  <c r="BH32" i="3"/>
  <c r="BG32" i="3"/>
  <c r="BF32" i="3"/>
  <c r="BE32" i="3"/>
  <c r="BD32" i="3"/>
  <c r="BC32" i="3"/>
  <c r="BB32" i="3"/>
  <c r="BA32" i="3"/>
  <c r="AX32" i="3"/>
  <c r="AW32" i="3"/>
  <c r="AV32" i="3"/>
  <c r="AU32" i="3"/>
  <c r="AT32" i="3"/>
  <c r="AS32" i="3"/>
  <c r="AR32" i="3"/>
  <c r="AQ32" i="3"/>
  <c r="AP32" i="3"/>
  <c r="AO32" i="3"/>
  <c r="AL32" i="3"/>
  <c r="AK32" i="3"/>
  <c r="AJ32" i="3"/>
  <c r="AI32" i="3"/>
  <c r="AH32" i="3"/>
  <c r="AG32" i="3"/>
  <c r="AF32" i="3"/>
  <c r="AE32" i="3"/>
  <c r="AD32" i="3"/>
  <c r="AC32" i="3"/>
  <c r="Z32" i="3"/>
  <c r="Y32" i="3"/>
  <c r="X32" i="3"/>
  <c r="W32" i="3"/>
  <c r="V32" i="3"/>
  <c r="U32" i="3"/>
  <c r="T32" i="3"/>
  <c r="S32" i="3"/>
  <c r="R32" i="3"/>
  <c r="Q32" i="3"/>
  <c r="N32" i="3"/>
  <c r="M32" i="3"/>
  <c r="L32" i="3"/>
  <c r="K32" i="3"/>
  <c r="J32" i="3"/>
  <c r="I32" i="3"/>
  <c r="H32" i="3"/>
  <c r="G32" i="3"/>
  <c r="F32" i="3"/>
  <c r="E32" i="3"/>
  <c r="BJ31" i="3"/>
  <c r="BI31" i="3"/>
  <c r="BH31" i="3"/>
  <c r="BG31" i="3"/>
  <c r="BF31" i="3"/>
  <c r="BE31" i="3"/>
  <c r="BD31" i="3"/>
  <c r="BC31" i="3"/>
  <c r="BB31" i="3"/>
  <c r="BA31" i="3"/>
  <c r="AX31" i="3"/>
  <c r="AW31" i="3"/>
  <c r="AV31" i="3"/>
  <c r="AU31" i="3"/>
  <c r="AT31" i="3"/>
  <c r="AS31" i="3"/>
  <c r="AR31" i="3"/>
  <c r="AQ31" i="3"/>
  <c r="AP31" i="3"/>
  <c r="AO31" i="3"/>
  <c r="AL31" i="3"/>
  <c r="AK31" i="3"/>
  <c r="AJ31" i="3"/>
  <c r="AI31" i="3"/>
  <c r="AH31" i="3"/>
  <c r="AG31" i="3"/>
  <c r="AF31" i="3"/>
  <c r="AE31" i="3"/>
  <c r="AD31" i="3"/>
  <c r="AC31" i="3"/>
  <c r="Z31" i="3"/>
  <c r="Y31" i="3"/>
  <c r="X31" i="3"/>
  <c r="W31" i="3"/>
  <c r="V31" i="3"/>
  <c r="U31" i="3"/>
  <c r="T31" i="3"/>
  <c r="S31" i="3"/>
  <c r="R31" i="3"/>
  <c r="Q31" i="3"/>
  <c r="N31" i="3"/>
  <c r="M31" i="3"/>
  <c r="L31" i="3"/>
  <c r="K31" i="3"/>
  <c r="J31" i="3"/>
  <c r="I31" i="3"/>
  <c r="H31" i="3"/>
  <c r="G31" i="3"/>
  <c r="F31" i="3"/>
  <c r="E31" i="3"/>
  <c r="BJ30" i="3"/>
  <c r="BI30" i="3"/>
  <c r="BH30" i="3"/>
  <c r="BG30" i="3"/>
  <c r="BF30" i="3"/>
  <c r="BE30" i="3"/>
  <c r="BD30" i="3"/>
  <c r="BC30" i="3"/>
  <c r="BB30" i="3"/>
  <c r="BA30" i="3"/>
  <c r="AX30" i="3"/>
  <c r="AW30" i="3"/>
  <c r="AV30" i="3"/>
  <c r="AU30" i="3"/>
  <c r="AT30" i="3"/>
  <c r="AS30" i="3"/>
  <c r="AR30" i="3"/>
  <c r="AQ30" i="3"/>
  <c r="AP30" i="3"/>
  <c r="AO30" i="3"/>
  <c r="AL30" i="3"/>
  <c r="AK30" i="3"/>
  <c r="AJ30" i="3"/>
  <c r="AI30" i="3"/>
  <c r="AH30" i="3"/>
  <c r="AG30" i="3"/>
  <c r="AF30" i="3"/>
  <c r="AE30" i="3"/>
  <c r="AD30" i="3"/>
  <c r="AC30" i="3"/>
  <c r="Z30" i="3"/>
  <c r="Y30" i="3"/>
  <c r="X30" i="3"/>
  <c r="W30" i="3"/>
  <c r="V30" i="3"/>
  <c r="U30" i="3"/>
  <c r="T30" i="3"/>
  <c r="S30" i="3"/>
  <c r="R30" i="3"/>
  <c r="Q30" i="3"/>
  <c r="N30" i="3"/>
  <c r="M30" i="3"/>
  <c r="L30" i="3"/>
  <c r="K30" i="3"/>
  <c r="J30" i="3"/>
  <c r="I30" i="3"/>
  <c r="H30" i="3"/>
  <c r="G30" i="3"/>
  <c r="F30" i="3"/>
  <c r="E30" i="3"/>
  <c r="BJ29" i="3"/>
  <c r="BI29" i="3"/>
  <c r="BH29" i="3"/>
  <c r="BG29" i="3"/>
  <c r="BF29" i="3"/>
  <c r="BE29" i="3"/>
  <c r="BD29" i="3"/>
  <c r="BC29" i="3"/>
  <c r="BB29" i="3"/>
  <c r="BA29" i="3"/>
  <c r="AX29" i="3"/>
  <c r="AW29" i="3"/>
  <c r="AV29" i="3"/>
  <c r="AU29" i="3"/>
  <c r="AT29" i="3"/>
  <c r="AS29" i="3"/>
  <c r="AR29" i="3"/>
  <c r="AQ29" i="3"/>
  <c r="AP29" i="3"/>
  <c r="AO29" i="3"/>
  <c r="AL29" i="3"/>
  <c r="AK29" i="3"/>
  <c r="AJ29" i="3"/>
  <c r="AI29" i="3"/>
  <c r="AH29" i="3"/>
  <c r="AG29" i="3"/>
  <c r="AF29" i="3"/>
  <c r="AE29" i="3"/>
  <c r="AD29" i="3"/>
  <c r="AC29" i="3"/>
  <c r="Z29" i="3"/>
  <c r="Y29" i="3"/>
  <c r="X29" i="3"/>
  <c r="W29" i="3"/>
  <c r="V29" i="3"/>
  <c r="U29" i="3"/>
  <c r="T29" i="3"/>
  <c r="S29" i="3"/>
  <c r="R29" i="3"/>
  <c r="Q29" i="3"/>
  <c r="N29" i="3"/>
  <c r="M29" i="3"/>
  <c r="L29" i="3"/>
  <c r="K29" i="3"/>
  <c r="J29" i="3"/>
  <c r="I29" i="3"/>
  <c r="H29" i="3"/>
  <c r="G29" i="3"/>
  <c r="F29" i="3"/>
  <c r="E29" i="3"/>
  <c r="BJ28" i="3"/>
  <c r="BI28" i="3"/>
  <c r="BH28" i="3"/>
  <c r="BG28" i="3"/>
  <c r="BF28" i="3"/>
  <c r="BE28" i="3"/>
  <c r="BD28" i="3"/>
  <c r="BC28" i="3"/>
  <c r="BB28" i="3"/>
  <c r="BA28" i="3"/>
  <c r="AX28" i="3"/>
  <c r="AW28" i="3"/>
  <c r="AV28" i="3"/>
  <c r="AU28" i="3"/>
  <c r="AT28" i="3"/>
  <c r="AS28" i="3"/>
  <c r="AR28" i="3"/>
  <c r="AQ28" i="3"/>
  <c r="AP28" i="3"/>
  <c r="AO28" i="3"/>
  <c r="AL28" i="3"/>
  <c r="AK28" i="3"/>
  <c r="AJ28" i="3"/>
  <c r="AI28" i="3"/>
  <c r="AH28" i="3"/>
  <c r="AG28" i="3"/>
  <c r="AF28" i="3"/>
  <c r="AE28" i="3"/>
  <c r="AD28" i="3"/>
  <c r="AC28" i="3"/>
  <c r="Z28" i="3"/>
  <c r="Y28" i="3"/>
  <c r="X28" i="3"/>
  <c r="W28" i="3"/>
  <c r="V28" i="3"/>
  <c r="U28" i="3"/>
  <c r="T28" i="3"/>
  <c r="S28" i="3"/>
  <c r="R28" i="3"/>
  <c r="Q28" i="3"/>
  <c r="N28" i="3"/>
  <c r="M28" i="3"/>
  <c r="L28" i="3"/>
  <c r="K28" i="3"/>
  <c r="J28" i="3"/>
  <c r="I28" i="3"/>
  <c r="H28" i="3"/>
  <c r="G28" i="3"/>
  <c r="F28" i="3"/>
  <c r="E28" i="3"/>
  <c r="BJ27" i="3"/>
  <c r="BI27" i="3"/>
  <c r="BH27" i="3"/>
  <c r="BG27" i="3"/>
  <c r="BF27" i="3"/>
  <c r="BE27" i="3"/>
  <c r="BD27" i="3"/>
  <c r="BC27" i="3"/>
  <c r="BB27" i="3"/>
  <c r="BA27" i="3"/>
  <c r="AX27" i="3"/>
  <c r="AW27" i="3"/>
  <c r="AV27" i="3"/>
  <c r="AU27" i="3"/>
  <c r="AT27" i="3"/>
  <c r="AS27" i="3"/>
  <c r="AR27" i="3"/>
  <c r="AQ27" i="3"/>
  <c r="AP27" i="3"/>
  <c r="AO27" i="3"/>
  <c r="AL27" i="3"/>
  <c r="AK27" i="3"/>
  <c r="AJ27" i="3"/>
  <c r="AI27" i="3"/>
  <c r="AH27" i="3"/>
  <c r="AG27" i="3"/>
  <c r="AF27" i="3"/>
  <c r="AE27" i="3"/>
  <c r="AD27" i="3"/>
  <c r="AC27" i="3"/>
  <c r="Z27" i="3"/>
  <c r="Y27" i="3"/>
  <c r="X27" i="3"/>
  <c r="W27" i="3"/>
  <c r="V27" i="3"/>
  <c r="U27" i="3"/>
  <c r="T27" i="3"/>
  <c r="S27" i="3"/>
  <c r="R27" i="3"/>
  <c r="Q27" i="3"/>
  <c r="N27" i="3"/>
  <c r="M27" i="3"/>
  <c r="L27" i="3"/>
  <c r="K27" i="3"/>
  <c r="J27" i="3"/>
  <c r="I27" i="3"/>
  <c r="H27" i="3"/>
  <c r="G27" i="3"/>
  <c r="F27" i="3"/>
  <c r="E27" i="3"/>
  <c r="BJ26" i="3"/>
  <c r="BI26" i="3"/>
  <c r="BH26" i="3"/>
  <c r="BG26" i="3"/>
  <c r="BF26" i="3"/>
  <c r="BE26" i="3"/>
  <c r="BD26" i="3"/>
  <c r="BC26" i="3"/>
  <c r="BB26" i="3"/>
  <c r="BA26" i="3"/>
  <c r="AX26" i="3"/>
  <c r="AW26" i="3"/>
  <c r="AV26" i="3"/>
  <c r="AU26" i="3"/>
  <c r="AT26" i="3"/>
  <c r="AS26" i="3"/>
  <c r="AR26" i="3"/>
  <c r="AQ26" i="3"/>
  <c r="AP26" i="3"/>
  <c r="AO26" i="3"/>
  <c r="AL26" i="3"/>
  <c r="AK26" i="3"/>
  <c r="AJ26" i="3"/>
  <c r="AI26" i="3"/>
  <c r="AH26" i="3"/>
  <c r="AG26" i="3"/>
  <c r="AF26" i="3"/>
  <c r="AE26" i="3"/>
  <c r="AD26" i="3"/>
  <c r="AC26" i="3"/>
  <c r="Z26" i="3"/>
  <c r="Y26" i="3"/>
  <c r="X26" i="3"/>
  <c r="W26" i="3"/>
  <c r="V26" i="3"/>
  <c r="U26" i="3"/>
  <c r="T26" i="3"/>
  <c r="S26" i="3"/>
  <c r="R26" i="3"/>
  <c r="Q26" i="3"/>
  <c r="N26" i="3"/>
  <c r="M26" i="3"/>
  <c r="L26" i="3"/>
  <c r="K26" i="3"/>
  <c r="J26" i="3"/>
  <c r="I26" i="3"/>
  <c r="H26" i="3"/>
  <c r="G26" i="3"/>
  <c r="F26" i="3"/>
  <c r="E26" i="3"/>
  <c r="BJ25" i="3"/>
  <c r="BI25" i="3"/>
  <c r="BH25" i="3"/>
  <c r="BG25" i="3"/>
  <c r="BF25" i="3"/>
  <c r="BE25" i="3"/>
  <c r="BD25" i="3"/>
  <c r="BC25" i="3"/>
  <c r="BB25" i="3"/>
  <c r="BA25" i="3"/>
  <c r="AX25" i="3"/>
  <c r="AW25" i="3"/>
  <c r="AV25" i="3"/>
  <c r="AU25" i="3"/>
  <c r="AT25" i="3"/>
  <c r="AS25" i="3"/>
  <c r="AR25" i="3"/>
  <c r="AQ25" i="3"/>
  <c r="AP25" i="3"/>
  <c r="AO25" i="3"/>
  <c r="AL25" i="3"/>
  <c r="AK25" i="3"/>
  <c r="AJ25" i="3"/>
  <c r="AI25" i="3"/>
  <c r="AH25" i="3"/>
  <c r="AG25" i="3"/>
  <c r="AF25" i="3"/>
  <c r="AE25" i="3"/>
  <c r="AD25" i="3"/>
  <c r="AC25" i="3"/>
  <c r="Z25" i="3"/>
  <c r="Y25" i="3"/>
  <c r="X25" i="3"/>
  <c r="W25" i="3"/>
  <c r="V25" i="3"/>
  <c r="U25" i="3"/>
  <c r="T25" i="3"/>
  <c r="S25" i="3"/>
  <c r="R25" i="3"/>
  <c r="Q25" i="3"/>
  <c r="N25" i="3"/>
  <c r="M25" i="3"/>
  <c r="L25" i="3"/>
  <c r="K25" i="3"/>
  <c r="J25" i="3"/>
  <c r="I25" i="3"/>
  <c r="H25" i="3"/>
  <c r="G25" i="3"/>
  <c r="F25" i="3"/>
  <c r="E25" i="3"/>
  <c r="BJ24" i="3"/>
  <c r="BI24" i="3"/>
  <c r="BH24" i="3"/>
  <c r="BG24" i="3"/>
  <c r="BF24" i="3"/>
  <c r="BE24" i="3"/>
  <c r="BD24" i="3"/>
  <c r="BC24" i="3"/>
  <c r="BB24" i="3"/>
  <c r="BA24" i="3"/>
  <c r="AX24" i="3"/>
  <c r="AW24" i="3"/>
  <c r="AV24" i="3"/>
  <c r="AU24" i="3"/>
  <c r="AT24" i="3"/>
  <c r="AS24" i="3"/>
  <c r="AR24" i="3"/>
  <c r="AQ24" i="3"/>
  <c r="AP24" i="3"/>
  <c r="AO24" i="3"/>
  <c r="AL24" i="3"/>
  <c r="AK24" i="3"/>
  <c r="AJ24" i="3"/>
  <c r="AI24" i="3"/>
  <c r="AH24" i="3"/>
  <c r="AG24" i="3"/>
  <c r="AF24" i="3"/>
  <c r="AE24" i="3"/>
  <c r="AD24" i="3"/>
  <c r="AC24" i="3"/>
  <c r="Z24" i="3"/>
  <c r="Y24" i="3"/>
  <c r="X24" i="3"/>
  <c r="W24" i="3"/>
  <c r="V24" i="3"/>
  <c r="U24" i="3"/>
  <c r="T24" i="3"/>
  <c r="S24" i="3"/>
  <c r="R24" i="3"/>
  <c r="Q24" i="3"/>
  <c r="N24" i="3"/>
  <c r="M24" i="3"/>
  <c r="L24" i="3"/>
  <c r="K24" i="3"/>
  <c r="J24" i="3"/>
  <c r="I24" i="3"/>
  <c r="H24" i="3"/>
  <c r="G24" i="3"/>
  <c r="F24" i="3"/>
  <c r="E24" i="3"/>
  <c r="BJ23" i="3"/>
  <c r="BI23" i="3"/>
  <c r="BH23" i="3"/>
  <c r="BG23" i="3"/>
  <c r="BF23" i="3"/>
  <c r="BE23" i="3"/>
  <c r="BD23" i="3"/>
  <c r="BC23" i="3"/>
  <c r="BB23" i="3"/>
  <c r="BA23" i="3"/>
  <c r="AX23" i="3"/>
  <c r="AW23" i="3"/>
  <c r="AV23" i="3"/>
  <c r="AU23" i="3"/>
  <c r="AT23" i="3"/>
  <c r="AS23" i="3"/>
  <c r="AR23" i="3"/>
  <c r="AQ23" i="3"/>
  <c r="AP23" i="3"/>
  <c r="AO23" i="3"/>
  <c r="AL23" i="3"/>
  <c r="AK23" i="3"/>
  <c r="AJ23" i="3"/>
  <c r="AI23" i="3"/>
  <c r="AH23" i="3"/>
  <c r="AG23" i="3"/>
  <c r="AF23" i="3"/>
  <c r="AE23" i="3"/>
  <c r="AD23" i="3"/>
  <c r="AC23" i="3"/>
  <c r="Z23" i="3"/>
  <c r="Y23" i="3"/>
  <c r="X23" i="3"/>
  <c r="W23" i="3"/>
  <c r="V23" i="3"/>
  <c r="U23" i="3"/>
  <c r="T23" i="3"/>
  <c r="S23" i="3"/>
  <c r="R23" i="3"/>
  <c r="Q23" i="3"/>
  <c r="N23" i="3"/>
  <c r="M23" i="3"/>
  <c r="L23" i="3"/>
  <c r="K23" i="3"/>
  <c r="J23" i="3"/>
  <c r="I23" i="3"/>
  <c r="H23" i="3"/>
  <c r="G23" i="3"/>
  <c r="F23" i="3"/>
  <c r="E23" i="3"/>
  <c r="BJ22" i="3"/>
  <c r="BI22" i="3"/>
  <c r="BH22" i="3"/>
  <c r="BG22" i="3"/>
  <c r="BF22" i="3"/>
  <c r="BE22" i="3"/>
  <c r="BD22" i="3"/>
  <c r="BC22" i="3"/>
  <c r="BB22" i="3"/>
  <c r="BA22" i="3"/>
  <c r="AX22" i="3"/>
  <c r="AW22" i="3"/>
  <c r="AV22" i="3"/>
  <c r="AU22" i="3"/>
  <c r="AT22" i="3"/>
  <c r="AS22" i="3"/>
  <c r="AR22" i="3"/>
  <c r="AQ22" i="3"/>
  <c r="AP22" i="3"/>
  <c r="AO22" i="3"/>
  <c r="AL22" i="3"/>
  <c r="AK22" i="3"/>
  <c r="AJ22" i="3"/>
  <c r="AI22" i="3"/>
  <c r="AH22" i="3"/>
  <c r="AG22" i="3"/>
  <c r="AF22" i="3"/>
  <c r="AE22" i="3"/>
  <c r="AD22" i="3"/>
  <c r="AC22" i="3"/>
  <c r="Z22" i="3"/>
  <c r="Y22" i="3"/>
  <c r="X22" i="3"/>
  <c r="W22" i="3"/>
  <c r="V22" i="3"/>
  <c r="U22" i="3"/>
  <c r="T22" i="3"/>
  <c r="S22" i="3"/>
  <c r="R22" i="3"/>
  <c r="Q22" i="3"/>
  <c r="N22" i="3"/>
  <c r="M22" i="3"/>
  <c r="L22" i="3"/>
  <c r="K22" i="3"/>
  <c r="J22" i="3"/>
  <c r="I22" i="3"/>
  <c r="H22" i="3"/>
  <c r="G22" i="3"/>
  <c r="F22" i="3"/>
  <c r="E22" i="3"/>
  <c r="BJ21" i="3"/>
  <c r="BI21" i="3"/>
  <c r="BH21" i="3"/>
  <c r="BG21" i="3"/>
  <c r="BF21" i="3"/>
  <c r="BE21" i="3"/>
  <c r="BD21" i="3"/>
  <c r="BC21" i="3"/>
  <c r="BB21" i="3"/>
  <c r="BA21" i="3"/>
  <c r="AX21" i="3"/>
  <c r="AW21" i="3"/>
  <c r="AV21" i="3"/>
  <c r="AU21" i="3"/>
  <c r="AT21" i="3"/>
  <c r="AS21" i="3"/>
  <c r="AR21" i="3"/>
  <c r="AQ21" i="3"/>
  <c r="AP21" i="3"/>
  <c r="AO21" i="3"/>
  <c r="AL21" i="3"/>
  <c r="AK21" i="3"/>
  <c r="AJ21" i="3"/>
  <c r="AI21" i="3"/>
  <c r="AH21" i="3"/>
  <c r="AG21" i="3"/>
  <c r="AF21" i="3"/>
  <c r="AE21" i="3"/>
  <c r="AD21" i="3"/>
  <c r="AC21" i="3"/>
  <c r="Z21" i="3"/>
  <c r="Y21" i="3"/>
  <c r="X21" i="3"/>
  <c r="W21" i="3"/>
  <c r="V21" i="3"/>
  <c r="U21" i="3"/>
  <c r="T21" i="3"/>
  <c r="S21" i="3"/>
  <c r="R21" i="3"/>
  <c r="Q21" i="3"/>
  <c r="N21" i="3"/>
  <c r="M21" i="3"/>
  <c r="L21" i="3"/>
  <c r="K21" i="3"/>
  <c r="J21" i="3"/>
  <c r="I21" i="3"/>
  <c r="H21" i="3"/>
  <c r="G21" i="3"/>
  <c r="F21" i="3"/>
  <c r="E21" i="3"/>
  <c r="BJ20" i="3"/>
  <c r="BI20" i="3"/>
  <c r="BH20" i="3"/>
  <c r="BG20" i="3"/>
  <c r="BF20" i="3"/>
  <c r="BE20" i="3"/>
  <c r="BD20" i="3"/>
  <c r="BC20" i="3"/>
  <c r="BB20" i="3"/>
  <c r="BA20" i="3"/>
  <c r="AX20" i="3"/>
  <c r="AW20" i="3"/>
  <c r="AV20" i="3"/>
  <c r="AU20" i="3"/>
  <c r="AT20" i="3"/>
  <c r="AS20" i="3"/>
  <c r="AR20" i="3"/>
  <c r="AQ20" i="3"/>
  <c r="AP20" i="3"/>
  <c r="AO20" i="3"/>
  <c r="AL20" i="3"/>
  <c r="AK20" i="3"/>
  <c r="AJ20" i="3"/>
  <c r="AI20" i="3"/>
  <c r="AH20" i="3"/>
  <c r="AG20" i="3"/>
  <c r="AF20" i="3"/>
  <c r="AE20" i="3"/>
  <c r="AD20" i="3"/>
  <c r="AC20" i="3"/>
  <c r="Z20" i="3"/>
  <c r="Y20" i="3"/>
  <c r="X20" i="3"/>
  <c r="W20" i="3"/>
  <c r="V20" i="3"/>
  <c r="U20" i="3"/>
  <c r="T20" i="3"/>
  <c r="S20" i="3"/>
  <c r="R20" i="3"/>
  <c r="Q20" i="3"/>
  <c r="N20" i="3"/>
  <c r="M20" i="3"/>
  <c r="L20" i="3"/>
  <c r="K20" i="3"/>
  <c r="J20" i="3"/>
  <c r="I20" i="3"/>
  <c r="H20" i="3"/>
  <c r="G20" i="3"/>
  <c r="F20" i="3"/>
  <c r="E20" i="3"/>
  <c r="BJ19" i="3"/>
  <c r="BI19" i="3"/>
  <c r="BH19" i="3"/>
  <c r="BG19" i="3"/>
  <c r="BF19" i="3"/>
  <c r="BE19" i="3"/>
  <c r="BD19" i="3"/>
  <c r="BC19" i="3"/>
  <c r="BB19" i="3"/>
  <c r="BA19" i="3"/>
  <c r="AX19" i="3"/>
  <c r="AW19" i="3"/>
  <c r="AV19" i="3"/>
  <c r="AU19" i="3"/>
  <c r="AT19" i="3"/>
  <c r="AS19" i="3"/>
  <c r="AR19" i="3"/>
  <c r="AQ19" i="3"/>
  <c r="AP19" i="3"/>
  <c r="AO19" i="3"/>
  <c r="AL19" i="3"/>
  <c r="AK19" i="3"/>
  <c r="AJ19" i="3"/>
  <c r="AI19" i="3"/>
  <c r="AH19" i="3"/>
  <c r="AG19" i="3"/>
  <c r="AF19" i="3"/>
  <c r="AE19" i="3"/>
  <c r="AD19" i="3"/>
  <c r="AC19" i="3"/>
  <c r="Z19" i="3"/>
  <c r="Y19" i="3"/>
  <c r="X19" i="3"/>
  <c r="W19" i="3"/>
  <c r="V19" i="3"/>
  <c r="U19" i="3"/>
  <c r="T19" i="3"/>
  <c r="S19" i="3"/>
  <c r="R19" i="3"/>
  <c r="Q19" i="3"/>
  <c r="N19" i="3"/>
  <c r="M19" i="3"/>
  <c r="L19" i="3"/>
  <c r="K19" i="3"/>
  <c r="J19" i="3"/>
  <c r="I19" i="3"/>
  <c r="H19" i="3"/>
  <c r="G19" i="3"/>
  <c r="F19" i="3"/>
  <c r="E19" i="3"/>
  <c r="BJ18" i="3"/>
  <c r="BI18" i="3"/>
  <c r="BH18" i="3"/>
  <c r="BG18" i="3"/>
  <c r="BF18" i="3"/>
  <c r="BE18" i="3"/>
  <c r="BD18" i="3"/>
  <c r="BC18" i="3"/>
  <c r="BB18" i="3"/>
  <c r="BA18" i="3"/>
  <c r="AX18" i="3"/>
  <c r="AW18" i="3"/>
  <c r="AV18" i="3"/>
  <c r="AU18" i="3"/>
  <c r="AT18" i="3"/>
  <c r="AS18" i="3"/>
  <c r="AR18" i="3"/>
  <c r="AQ18" i="3"/>
  <c r="AP18" i="3"/>
  <c r="AO18" i="3"/>
  <c r="AL18" i="3"/>
  <c r="AK18" i="3"/>
  <c r="AJ18" i="3"/>
  <c r="AI18" i="3"/>
  <c r="AH18" i="3"/>
  <c r="AG18" i="3"/>
  <c r="AF18" i="3"/>
  <c r="AE18" i="3"/>
  <c r="AD18" i="3"/>
  <c r="AC18" i="3"/>
  <c r="Z18" i="3"/>
  <c r="Y18" i="3"/>
  <c r="X18" i="3"/>
  <c r="W18" i="3"/>
  <c r="V18" i="3"/>
  <c r="U18" i="3"/>
  <c r="T18" i="3"/>
  <c r="S18" i="3"/>
  <c r="R18" i="3"/>
  <c r="Q18" i="3"/>
  <c r="N18" i="3"/>
  <c r="M18" i="3"/>
  <c r="L18" i="3"/>
  <c r="K18" i="3"/>
  <c r="J18" i="3"/>
  <c r="I18" i="3"/>
  <c r="H18" i="3"/>
  <c r="G18" i="3"/>
  <c r="F18" i="3"/>
  <c r="E18" i="3"/>
  <c r="BJ17" i="3"/>
  <c r="BI17" i="3"/>
  <c r="BH17" i="3"/>
  <c r="BG17" i="3"/>
  <c r="BF17" i="3"/>
  <c r="BE17" i="3"/>
  <c r="BD17" i="3"/>
  <c r="BC17" i="3"/>
  <c r="BB17" i="3"/>
  <c r="BA17" i="3"/>
  <c r="AX17" i="3"/>
  <c r="AW17" i="3"/>
  <c r="AV17" i="3"/>
  <c r="AU17" i="3"/>
  <c r="AT17" i="3"/>
  <c r="AS17" i="3"/>
  <c r="AR17" i="3"/>
  <c r="AQ17" i="3"/>
  <c r="AP17" i="3"/>
  <c r="AO17" i="3"/>
  <c r="AL17" i="3"/>
  <c r="AK17" i="3"/>
  <c r="AJ17" i="3"/>
  <c r="AI17" i="3"/>
  <c r="AH17" i="3"/>
  <c r="AG17" i="3"/>
  <c r="AF17" i="3"/>
  <c r="AE17" i="3"/>
  <c r="AD17" i="3"/>
  <c r="AC17" i="3"/>
  <c r="Z17" i="3"/>
  <c r="Y17" i="3"/>
  <c r="X17" i="3"/>
  <c r="W17" i="3"/>
  <c r="V17" i="3"/>
  <c r="U17" i="3"/>
  <c r="T17" i="3"/>
  <c r="S17" i="3"/>
  <c r="R17" i="3"/>
  <c r="Q17" i="3"/>
  <c r="N17" i="3"/>
  <c r="M17" i="3"/>
  <c r="L17" i="3"/>
  <c r="K17" i="3"/>
  <c r="J17" i="3"/>
  <c r="I17" i="3"/>
  <c r="H17" i="3"/>
  <c r="G17" i="3"/>
  <c r="F17" i="3"/>
  <c r="E17" i="3"/>
  <c r="BJ16" i="3"/>
  <c r="BI16" i="3"/>
  <c r="BH16" i="3"/>
  <c r="BG16" i="3"/>
  <c r="BF16" i="3"/>
  <c r="BE16" i="3"/>
  <c r="BD16" i="3"/>
  <c r="BC16" i="3"/>
  <c r="BB16" i="3"/>
  <c r="BA16" i="3"/>
  <c r="AX16" i="3"/>
  <c r="AW16" i="3"/>
  <c r="AV16" i="3"/>
  <c r="AU16" i="3"/>
  <c r="AT16" i="3"/>
  <c r="AS16" i="3"/>
  <c r="AR16" i="3"/>
  <c r="AQ16" i="3"/>
  <c r="AP16" i="3"/>
  <c r="AO16" i="3"/>
  <c r="AL16" i="3"/>
  <c r="AK16" i="3"/>
  <c r="AJ16" i="3"/>
  <c r="AI16" i="3"/>
  <c r="AH16" i="3"/>
  <c r="AG16" i="3"/>
  <c r="AF16" i="3"/>
  <c r="AE16" i="3"/>
  <c r="AD16" i="3"/>
  <c r="AC16" i="3"/>
  <c r="Z16" i="3"/>
  <c r="Y16" i="3"/>
  <c r="X16" i="3"/>
  <c r="W16" i="3"/>
  <c r="V16" i="3"/>
  <c r="U16" i="3"/>
  <c r="T16" i="3"/>
  <c r="S16" i="3"/>
  <c r="R16" i="3"/>
  <c r="Q16" i="3"/>
  <c r="N16" i="3"/>
  <c r="M16" i="3"/>
  <c r="L16" i="3"/>
  <c r="K16" i="3"/>
  <c r="J16" i="3"/>
  <c r="I16" i="3"/>
  <c r="H16" i="3"/>
  <c r="G16" i="3"/>
  <c r="F16" i="3"/>
  <c r="E16" i="3"/>
  <c r="BJ15" i="3"/>
  <c r="BI15" i="3"/>
  <c r="BH15" i="3"/>
  <c r="BG15" i="3"/>
  <c r="BF15" i="3"/>
  <c r="BE15" i="3"/>
  <c r="BD15" i="3"/>
  <c r="BC15" i="3"/>
  <c r="BB15" i="3"/>
  <c r="BA15" i="3"/>
  <c r="AX15" i="3"/>
  <c r="AW15" i="3"/>
  <c r="AV15" i="3"/>
  <c r="AU15" i="3"/>
  <c r="AT15" i="3"/>
  <c r="AS15" i="3"/>
  <c r="AR15" i="3"/>
  <c r="AQ15" i="3"/>
  <c r="AP15" i="3"/>
  <c r="AO15" i="3"/>
  <c r="AL15" i="3"/>
  <c r="AK15" i="3"/>
  <c r="AJ15" i="3"/>
  <c r="AI15" i="3"/>
  <c r="AH15" i="3"/>
  <c r="AG15" i="3"/>
  <c r="AF15" i="3"/>
  <c r="AE15" i="3"/>
  <c r="AD15" i="3"/>
  <c r="AC15" i="3"/>
  <c r="Z15" i="3"/>
  <c r="Y15" i="3"/>
  <c r="X15" i="3"/>
  <c r="W15" i="3"/>
  <c r="V15" i="3"/>
  <c r="U15" i="3"/>
  <c r="T15" i="3"/>
  <c r="S15" i="3"/>
  <c r="R15" i="3"/>
  <c r="Q15" i="3"/>
  <c r="N15" i="3"/>
  <c r="M15" i="3"/>
  <c r="L15" i="3"/>
  <c r="K15" i="3"/>
  <c r="J15" i="3"/>
  <c r="I15" i="3"/>
  <c r="H15" i="3"/>
  <c r="G15" i="3"/>
  <c r="F15" i="3"/>
  <c r="E15" i="3"/>
  <c r="BJ14" i="3"/>
  <c r="BI14" i="3"/>
  <c r="BH14" i="3"/>
  <c r="BG14" i="3"/>
  <c r="BF14" i="3"/>
  <c r="BE14" i="3"/>
  <c r="BD14" i="3"/>
  <c r="BC14" i="3"/>
  <c r="BB14" i="3"/>
  <c r="BA14" i="3"/>
  <c r="AX14" i="3"/>
  <c r="AW14" i="3"/>
  <c r="AV14" i="3"/>
  <c r="AU14" i="3"/>
  <c r="AT14" i="3"/>
  <c r="AS14" i="3"/>
  <c r="AR14" i="3"/>
  <c r="AQ14" i="3"/>
  <c r="AP14" i="3"/>
  <c r="AO14" i="3"/>
  <c r="AL14" i="3"/>
  <c r="AK14" i="3"/>
  <c r="AJ14" i="3"/>
  <c r="AI14" i="3"/>
  <c r="AH14" i="3"/>
  <c r="AG14" i="3"/>
  <c r="AF14" i="3"/>
  <c r="AE14" i="3"/>
  <c r="AD14" i="3"/>
  <c r="AC14" i="3"/>
  <c r="Z14" i="3"/>
  <c r="Y14" i="3"/>
  <c r="X14" i="3"/>
  <c r="W14" i="3"/>
  <c r="V14" i="3"/>
  <c r="U14" i="3"/>
  <c r="T14" i="3"/>
  <c r="S14" i="3"/>
  <c r="R14" i="3"/>
  <c r="Q14" i="3"/>
  <c r="N14" i="3"/>
  <c r="M14" i="3"/>
  <c r="L14" i="3"/>
  <c r="K14" i="3"/>
  <c r="J14" i="3"/>
  <c r="I14" i="3"/>
  <c r="H14" i="3"/>
  <c r="G14" i="3"/>
  <c r="F14" i="3"/>
  <c r="E14" i="3"/>
  <c r="BJ13" i="3"/>
  <c r="BI13" i="3"/>
  <c r="BH13" i="3"/>
  <c r="BG13" i="3"/>
  <c r="BF13" i="3"/>
  <c r="BE13" i="3"/>
  <c r="BD13" i="3"/>
  <c r="BC13" i="3"/>
  <c r="BB13" i="3"/>
  <c r="BA13" i="3"/>
  <c r="AX13" i="3"/>
  <c r="AW13" i="3"/>
  <c r="AV13" i="3"/>
  <c r="AU13" i="3"/>
  <c r="AT13" i="3"/>
  <c r="AS13" i="3"/>
  <c r="AR13" i="3"/>
  <c r="AQ13" i="3"/>
  <c r="AP13" i="3"/>
  <c r="AO13" i="3"/>
  <c r="AL13" i="3"/>
  <c r="AK13" i="3"/>
  <c r="AJ13" i="3"/>
  <c r="AI13" i="3"/>
  <c r="AH13" i="3"/>
  <c r="AG13" i="3"/>
  <c r="AF13" i="3"/>
  <c r="AE13" i="3"/>
  <c r="AD13" i="3"/>
  <c r="AC13" i="3"/>
  <c r="Z13" i="3"/>
  <c r="Y13" i="3"/>
  <c r="X13" i="3"/>
  <c r="W13" i="3"/>
  <c r="V13" i="3"/>
  <c r="U13" i="3"/>
  <c r="T13" i="3"/>
  <c r="S13" i="3"/>
  <c r="R13" i="3"/>
  <c r="Q13" i="3"/>
  <c r="N13" i="3"/>
  <c r="M13" i="3"/>
  <c r="L13" i="3"/>
  <c r="K13" i="3"/>
  <c r="J13" i="3"/>
  <c r="I13" i="3"/>
  <c r="H13" i="3"/>
  <c r="G13" i="3"/>
  <c r="F13" i="3"/>
  <c r="E13" i="3"/>
  <c r="BJ12" i="3"/>
  <c r="BI12" i="3"/>
  <c r="BH12" i="3"/>
  <c r="BG12" i="3"/>
  <c r="BF12" i="3"/>
  <c r="BE12" i="3"/>
  <c r="BD12" i="3"/>
  <c r="BC12" i="3"/>
  <c r="BB12" i="3"/>
  <c r="BA12" i="3"/>
  <c r="AX12" i="3"/>
  <c r="AW12" i="3"/>
  <c r="AV12" i="3"/>
  <c r="AU12" i="3"/>
  <c r="AT12" i="3"/>
  <c r="AS12" i="3"/>
  <c r="AR12" i="3"/>
  <c r="AQ12" i="3"/>
  <c r="AP12" i="3"/>
  <c r="AO12" i="3"/>
  <c r="AL12" i="3"/>
  <c r="AK12" i="3"/>
  <c r="AJ12" i="3"/>
  <c r="AI12" i="3"/>
  <c r="AH12" i="3"/>
  <c r="AG12" i="3"/>
  <c r="AF12" i="3"/>
  <c r="AE12" i="3"/>
  <c r="AD12" i="3"/>
  <c r="AC12" i="3"/>
  <c r="Z12" i="3"/>
  <c r="Y12" i="3"/>
  <c r="X12" i="3"/>
  <c r="W12" i="3"/>
  <c r="V12" i="3"/>
  <c r="U12" i="3"/>
  <c r="T12" i="3"/>
  <c r="S12" i="3"/>
  <c r="R12" i="3"/>
  <c r="Q12" i="3"/>
  <c r="N12" i="3"/>
  <c r="M12" i="3"/>
  <c r="L12" i="3"/>
  <c r="K12" i="3"/>
  <c r="J12" i="3"/>
  <c r="I12" i="3"/>
  <c r="H12" i="3"/>
  <c r="G12" i="3"/>
  <c r="F12" i="3"/>
  <c r="E12" i="3"/>
  <c r="BJ11" i="3"/>
  <c r="BI11" i="3"/>
  <c r="BH11" i="3"/>
  <c r="BG11" i="3"/>
  <c r="BF11" i="3"/>
  <c r="BE11" i="3"/>
  <c r="BD11" i="3"/>
  <c r="BC11" i="3"/>
  <c r="BB11" i="3"/>
  <c r="BA11" i="3"/>
  <c r="AX11" i="3"/>
  <c r="AW11" i="3"/>
  <c r="AV11" i="3"/>
  <c r="AU11" i="3"/>
  <c r="AT11" i="3"/>
  <c r="AS11" i="3"/>
  <c r="AR11" i="3"/>
  <c r="AQ11" i="3"/>
  <c r="AP11" i="3"/>
  <c r="AO11" i="3"/>
  <c r="AL11" i="3"/>
  <c r="AK11" i="3"/>
  <c r="AJ11" i="3"/>
  <c r="AI11" i="3"/>
  <c r="AH11" i="3"/>
  <c r="AG11" i="3"/>
  <c r="AF11" i="3"/>
  <c r="AE11" i="3"/>
  <c r="AD11" i="3"/>
  <c r="AC11" i="3"/>
  <c r="Z11" i="3"/>
  <c r="Y11" i="3"/>
  <c r="X11" i="3"/>
  <c r="W11" i="3"/>
  <c r="V11" i="3"/>
  <c r="U11" i="3"/>
  <c r="T11" i="3"/>
  <c r="S11" i="3"/>
  <c r="R11" i="3"/>
  <c r="Q11" i="3"/>
  <c r="N11" i="3"/>
  <c r="M11" i="3"/>
  <c r="L11" i="3"/>
  <c r="K11" i="3"/>
  <c r="J11" i="3"/>
  <c r="I11" i="3"/>
  <c r="H11" i="3"/>
  <c r="G11" i="3"/>
  <c r="F11" i="3"/>
  <c r="E11" i="3"/>
  <c r="BJ10" i="3"/>
  <c r="BI10" i="3"/>
  <c r="BH10" i="3"/>
  <c r="BG10" i="3"/>
  <c r="BF10" i="3"/>
  <c r="BE10" i="3"/>
  <c r="BD10" i="3"/>
  <c r="BC10" i="3"/>
  <c r="BB10" i="3"/>
  <c r="BA10" i="3"/>
  <c r="AX10" i="3"/>
  <c r="AW10" i="3"/>
  <c r="AV10" i="3"/>
  <c r="AU10" i="3"/>
  <c r="AT10" i="3"/>
  <c r="AS10" i="3"/>
  <c r="AR10" i="3"/>
  <c r="AQ10" i="3"/>
  <c r="AP10" i="3"/>
  <c r="AO10" i="3"/>
  <c r="AL10" i="3"/>
  <c r="AK10" i="3"/>
  <c r="AJ10" i="3"/>
  <c r="AI10" i="3"/>
  <c r="AH10" i="3"/>
  <c r="AG10" i="3"/>
  <c r="AF10" i="3"/>
  <c r="AE10" i="3"/>
  <c r="AD10" i="3"/>
  <c r="AC10" i="3"/>
  <c r="Z10" i="3"/>
  <c r="Y10" i="3"/>
  <c r="X10" i="3"/>
  <c r="W10" i="3"/>
  <c r="V10" i="3"/>
  <c r="U10" i="3"/>
  <c r="T10" i="3"/>
  <c r="S10" i="3"/>
  <c r="R10" i="3"/>
  <c r="Q10" i="3"/>
  <c r="N10" i="3"/>
  <c r="M10" i="3"/>
  <c r="L10" i="3"/>
  <c r="K10" i="3"/>
  <c r="J10" i="3"/>
  <c r="I10" i="3"/>
  <c r="H10" i="3"/>
  <c r="G10" i="3"/>
  <c r="F10" i="3"/>
  <c r="E10" i="3"/>
  <c r="BJ9" i="3"/>
  <c r="BI9" i="3"/>
  <c r="BH9" i="3"/>
  <c r="BG9" i="3"/>
  <c r="BF9" i="3"/>
  <c r="BE9" i="3"/>
  <c r="BD9" i="3"/>
  <c r="BC9" i="3"/>
  <c r="BB9" i="3"/>
  <c r="BA9" i="3"/>
  <c r="AX9" i="3"/>
  <c r="AW9" i="3"/>
  <c r="AV9" i="3"/>
  <c r="AU9" i="3"/>
  <c r="AT9" i="3"/>
  <c r="AS9" i="3"/>
  <c r="AR9" i="3"/>
  <c r="AQ9" i="3"/>
  <c r="AP9" i="3"/>
  <c r="AO9" i="3"/>
  <c r="AL9" i="3"/>
  <c r="AK9" i="3"/>
  <c r="AJ9" i="3"/>
  <c r="AI9" i="3"/>
  <c r="AH9" i="3"/>
  <c r="AG9" i="3"/>
  <c r="AF9" i="3"/>
  <c r="AE9" i="3"/>
  <c r="AD9" i="3"/>
  <c r="AC9" i="3"/>
  <c r="Z9" i="3"/>
  <c r="Y9" i="3"/>
  <c r="X9" i="3"/>
  <c r="W9" i="3"/>
  <c r="V9" i="3"/>
  <c r="U9" i="3"/>
  <c r="T9" i="3"/>
  <c r="S9" i="3"/>
  <c r="R9" i="3"/>
  <c r="Q9" i="3"/>
  <c r="N9" i="3"/>
  <c r="M9" i="3"/>
  <c r="L9" i="3"/>
  <c r="K9" i="3"/>
  <c r="J9" i="3"/>
  <c r="I9" i="3"/>
  <c r="H9" i="3"/>
  <c r="G9" i="3"/>
  <c r="F9" i="3"/>
  <c r="E9" i="3"/>
  <c r="BJ8" i="3"/>
  <c r="BI8" i="3"/>
  <c r="BH8" i="3"/>
  <c r="BG8" i="3"/>
  <c r="BF8" i="3"/>
  <c r="BE8" i="3"/>
  <c r="BD8" i="3"/>
  <c r="BC8" i="3"/>
  <c r="BB8" i="3"/>
  <c r="BA8" i="3"/>
  <c r="AX8" i="3"/>
  <c r="AW8" i="3"/>
  <c r="AV8" i="3"/>
  <c r="AU8" i="3"/>
  <c r="AT8" i="3"/>
  <c r="AS8" i="3"/>
  <c r="AR8" i="3"/>
  <c r="AQ8" i="3"/>
  <c r="AP8" i="3"/>
  <c r="AO8" i="3"/>
  <c r="AL8" i="3"/>
  <c r="AK8" i="3"/>
  <c r="AJ8" i="3"/>
  <c r="AI8" i="3"/>
  <c r="AH8" i="3"/>
  <c r="AG8" i="3"/>
  <c r="AF8" i="3"/>
  <c r="AE8" i="3"/>
  <c r="AD8" i="3"/>
  <c r="AC8" i="3"/>
  <c r="Z8" i="3"/>
  <c r="Y8" i="3"/>
  <c r="X8" i="3"/>
  <c r="W8" i="3"/>
  <c r="V8" i="3"/>
  <c r="U8" i="3"/>
  <c r="T8" i="3"/>
  <c r="S8" i="3"/>
  <c r="R8" i="3"/>
  <c r="Q8" i="3"/>
  <c r="N8" i="3"/>
  <c r="M8" i="3"/>
  <c r="L8" i="3"/>
  <c r="K8" i="3"/>
  <c r="J8" i="3"/>
  <c r="I8" i="3"/>
  <c r="H8" i="3"/>
  <c r="G8" i="3"/>
  <c r="F8" i="3"/>
  <c r="E8" i="3"/>
  <c r="BJ7" i="3"/>
  <c r="BI7" i="3"/>
  <c r="BH7" i="3"/>
  <c r="BG7" i="3"/>
  <c r="BF7" i="3"/>
  <c r="BE7" i="3"/>
  <c r="BD7" i="3"/>
  <c r="BC7" i="3"/>
  <c r="BB7" i="3"/>
  <c r="BA7" i="3"/>
  <c r="AX7" i="3"/>
  <c r="AW7" i="3"/>
  <c r="AV7" i="3"/>
  <c r="AU7" i="3"/>
  <c r="AT7" i="3"/>
  <c r="AS7" i="3"/>
  <c r="AR7" i="3"/>
  <c r="AQ7" i="3"/>
  <c r="AP7" i="3"/>
  <c r="AO7" i="3"/>
  <c r="AL7" i="3"/>
  <c r="AK7" i="3"/>
  <c r="AJ7" i="3"/>
  <c r="AI7" i="3"/>
  <c r="AH7" i="3"/>
  <c r="AG7" i="3"/>
  <c r="AF7" i="3"/>
  <c r="AE7" i="3"/>
  <c r="AD7" i="3"/>
  <c r="AC7" i="3"/>
  <c r="Z7" i="3"/>
  <c r="Y7" i="3"/>
  <c r="X7" i="3"/>
  <c r="W7" i="3"/>
  <c r="V7" i="3"/>
  <c r="U7" i="3"/>
  <c r="T7" i="3"/>
  <c r="S7" i="3"/>
  <c r="R7" i="3"/>
  <c r="Q7" i="3"/>
  <c r="N7" i="3"/>
  <c r="M7" i="3"/>
  <c r="L7" i="3"/>
  <c r="K7" i="3"/>
  <c r="J7" i="3"/>
  <c r="I7" i="3"/>
  <c r="H7" i="3"/>
  <c r="G7" i="3"/>
  <c r="F7" i="3"/>
  <c r="E7" i="3"/>
  <c r="BJ6" i="3"/>
  <c r="BI6" i="3"/>
  <c r="BH6" i="3"/>
  <c r="BG6" i="3"/>
  <c r="BF6" i="3"/>
  <c r="BE6" i="3"/>
  <c r="BD6" i="3"/>
  <c r="BC6" i="3"/>
  <c r="BB6" i="3"/>
  <c r="BA6" i="3"/>
  <c r="AX6" i="3"/>
  <c r="AW6" i="3"/>
  <c r="AV6" i="3"/>
  <c r="AU6" i="3"/>
  <c r="AT6" i="3"/>
  <c r="AS6" i="3"/>
  <c r="AR6" i="3"/>
  <c r="AQ6" i="3"/>
  <c r="AP6" i="3"/>
  <c r="AO6" i="3"/>
  <c r="AL6" i="3"/>
  <c r="AK6" i="3"/>
  <c r="AJ6" i="3"/>
  <c r="AI6" i="3"/>
  <c r="AH6" i="3"/>
  <c r="AG6" i="3"/>
  <c r="AF6" i="3"/>
  <c r="AE6" i="3"/>
  <c r="AD6" i="3"/>
  <c r="AC6" i="3"/>
  <c r="Z6" i="3"/>
  <c r="Y6" i="3"/>
  <c r="X6" i="3"/>
  <c r="W6" i="3"/>
  <c r="V6" i="3"/>
  <c r="U6" i="3"/>
  <c r="T6" i="3"/>
  <c r="S6" i="3"/>
  <c r="R6" i="3"/>
  <c r="Q6" i="3"/>
  <c r="N6" i="3"/>
  <c r="M6" i="3"/>
  <c r="L6" i="3"/>
  <c r="K6" i="3"/>
  <c r="J6" i="3"/>
  <c r="I6" i="3"/>
  <c r="H6" i="3"/>
  <c r="G6" i="3"/>
  <c r="F6" i="3"/>
  <c r="E6" i="3"/>
  <c r="BJ5" i="3"/>
  <c r="BI5" i="3"/>
  <c r="BH5" i="3"/>
  <c r="BG5" i="3"/>
  <c r="BF5" i="3"/>
  <c r="BE5" i="3"/>
  <c r="BD5" i="3"/>
  <c r="BC5" i="3"/>
  <c r="BB5" i="3"/>
  <c r="BA5" i="3"/>
  <c r="AX5" i="3"/>
  <c r="AW5" i="3"/>
  <c r="AV5" i="3"/>
  <c r="AU5" i="3"/>
  <c r="AT5" i="3"/>
  <c r="AS5" i="3"/>
  <c r="AR5" i="3"/>
  <c r="AQ5" i="3"/>
  <c r="AP5" i="3"/>
  <c r="AO5" i="3"/>
  <c r="AL5" i="3"/>
  <c r="AK5" i="3"/>
  <c r="AJ5" i="3"/>
  <c r="AI5" i="3"/>
  <c r="AH5" i="3"/>
  <c r="AG5" i="3"/>
  <c r="AF5" i="3"/>
  <c r="AE5" i="3"/>
  <c r="AD5" i="3"/>
  <c r="AC5" i="3"/>
  <c r="Z5" i="3"/>
  <c r="Y5" i="3"/>
  <c r="X5" i="3"/>
  <c r="W5" i="3"/>
  <c r="V5" i="3"/>
  <c r="U5" i="3"/>
  <c r="T5" i="3"/>
  <c r="S5" i="3"/>
  <c r="R5" i="3"/>
  <c r="Q5" i="3"/>
  <c r="N5" i="3"/>
  <c r="M5" i="3"/>
  <c r="L5" i="3"/>
  <c r="K5" i="3"/>
  <c r="J5" i="3"/>
  <c r="I5" i="3"/>
  <c r="H5" i="3"/>
  <c r="G5" i="3"/>
  <c r="F5" i="3"/>
  <c r="E5" i="3"/>
  <c r="BJ4" i="3"/>
  <c r="BI4" i="3"/>
  <c r="BH4" i="3"/>
  <c r="BG4" i="3"/>
  <c r="BF4" i="3"/>
  <c r="BE4" i="3"/>
  <c r="BD4" i="3"/>
  <c r="BC4" i="3"/>
  <c r="BB4" i="3"/>
  <c r="BA4" i="3"/>
  <c r="AX4" i="3"/>
  <c r="AW4" i="3"/>
  <c r="AV4" i="3"/>
  <c r="AU4" i="3"/>
  <c r="AT4" i="3"/>
  <c r="AS4" i="3"/>
  <c r="AR4" i="3"/>
  <c r="AQ4" i="3"/>
  <c r="AP4" i="3"/>
  <c r="AO4" i="3"/>
  <c r="AL4" i="3"/>
  <c r="AK4" i="3"/>
  <c r="AJ4" i="3"/>
  <c r="AI4" i="3"/>
  <c r="AH4" i="3"/>
  <c r="AG4" i="3"/>
  <c r="AF4" i="3"/>
  <c r="AE4" i="3"/>
  <c r="AD4" i="3"/>
  <c r="AC4" i="3"/>
  <c r="Z4" i="3"/>
  <c r="Y4" i="3"/>
  <c r="X4" i="3"/>
  <c r="W4" i="3"/>
  <c r="V4" i="3"/>
  <c r="U4" i="3"/>
  <c r="T4" i="3"/>
  <c r="S4" i="3"/>
  <c r="R4" i="3"/>
  <c r="Q4" i="3"/>
  <c r="N4" i="3"/>
  <c r="M4" i="3"/>
  <c r="L4" i="3"/>
  <c r="K4" i="3"/>
  <c r="J4" i="3"/>
  <c r="I4" i="3"/>
  <c r="H4" i="3"/>
  <c r="G4" i="3"/>
  <c r="F4" i="3"/>
  <c r="E4" i="3"/>
  <c r="M34" i="6" l="1"/>
  <c r="L34" i="6"/>
  <c r="K34" i="6"/>
  <c r="J34" i="6"/>
  <c r="I34" i="6"/>
  <c r="H34" i="6"/>
  <c r="G34" i="6"/>
  <c r="F34" i="6"/>
  <c r="E34" i="6"/>
  <c r="D34" i="6"/>
  <c r="M33" i="6"/>
  <c r="L33" i="6"/>
  <c r="K33" i="6"/>
  <c r="J33" i="6"/>
  <c r="I33" i="6"/>
  <c r="H33" i="6"/>
  <c r="G33" i="6"/>
  <c r="F33" i="6"/>
  <c r="E33" i="6"/>
  <c r="D33" i="6"/>
  <c r="M32" i="6"/>
  <c r="L32" i="6"/>
  <c r="K32" i="6"/>
  <c r="J32" i="6"/>
  <c r="I32" i="6"/>
  <c r="H32" i="6"/>
  <c r="G32" i="6"/>
  <c r="F32" i="6"/>
  <c r="E32" i="6"/>
  <c r="D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M29" i="6"/>
  <c r="L29" i="6"/>
  <c r="K29" i="6"/>
  <c r="J29" i="6"/>
  <c r="I29" i="6"/>
  <c r="H29" i="6"/>
  <c r="G29" i="6"/>
  <c r="F29" i="6"/>
  <c r="E29" i="6"/>
  <c r="D29" i="6"/>
  <c r="M28" i="6"/>
  <c r="L28" i="6"/>
  <c r="K28" i="6"/>
  <c r="J28" i="6"/>
  <c r="I28" i="6"/>
  <c r="H28" i="6"/>
  <c r="G28" i="6"/>
  <c r="F28" i="6"/>
  <c r="E28" i="6"/>
  <c r="D28" i="6"/>
  <c r="M27" i="6"/>
  <c r="L27" i="6"/>
  <c r="K27" i="6"/>
  <c r="J27" i="6"/>
  <c r="I27" i="6"/>
  <c r="H27" i="6"/>
  <c r="G27" i="6"/>
  <c r="F27" i="6"/>
  <c r="E27" i="6"/>
  <c r="D27" i="6"/>
  <c r="M26" i="6"/>
  <c r="L26" i="6"/>
  <c r="K26" i="6"/>
  <c r="J26" i="6"/>
  <c r="I26" i="6"/>
  <c r="H26" i="6"/>
  <c r="G26" i="6"/>
  <c r="F26" i="6"/>
  <c r="E26" i="6"/>
  <c r="D26" i="6"/>
  <c r="M25" i="6"/>
  <c r="L25" i="6"/>
  <c r="K25" i="6"/>
  <c r="J25" i="6"/>
  <c r="I25" i="6"/>
  <c r="H25" i="6"/>
  <c r="G25" i="6"/>
  <c r="F25" i="6"/>
  <c r="E25" i="6"/>
  <c r="D25" i="6"/>
  <c r="M24" i="6"/>
  <c r="L24" i="6"/>
  <c r="K24" i="6"/>
  <c r="J24" i="6"/>
  <c r="I24" i="6"/>
  <c r="H24" i="6"/>
  <c r="G24" i="6"/>
  <c r="F24" i="6"/>
  <c r="E24" i="6"/>
  <c r="D24" i="6"/>
  <c r="M23" i="6"/>
  <c r="L23" i="6"/>
  <c r="K23" i="6"/>
  <c r="J23" i="6"/>
  <c r="I23" i="6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D22" i="6"/>
  <c r="M21" i="6"/>
  <c r="L21" i="6"/>
  <c r="K21" i="6"/>
  <c r="J21" i="6"/>
  <c r="I21" i="6"/>
  <c r="H21" i="6"/>
  <c r="G21" i="6"/>
  <c r="F21" i="6"/>
  <c r="E21" i="6"/>
  <c r="D21" i="6"/>
  <c r="M20" i="6"/>
  <c r="L20" i="6"/>
  <c r="K20" i="6"/>
  <c r="J20" i="6"/>
  <c r="I20" i="6"/>
  <c r="H20" i="6"/>
  <c r="G20" i="6"/>
  <c r="F20" i="6"/>
  <c r="E20" i="6"/>
  <c r="D20" i="6"/>
  <c r="M19" i="6"/>
  <c r="L19" i="6"/>
  <c r="K19" i="6"/>
  <c r="J19" i="6"/>
  <c r="I19" i="6"/>
  <c r="H19" i="6"/>
  <c r="G19" i="6"/>
  <c r="F19" i="6"/>
  <c r="E19" i="6"/>
  <c r="D19" i="6"/>
  <c r="M18" i="6"/>
  <c r="L18" i="6"/>
  <c r="K18" i="6"/>
  <c r="J18" i="6"/>
  <c r="I18" i="6"/>
  <c r="H18" i="6"/>
  <c r="G18" i="6"/>
  <c r="F18" i="6"/>
  <c r="E18" i="6"/>
  <c r="D18" i="6"/>
  <c r="M17" i="6"/>
  <c r="L17" i="6"/>
  <c r="K17" i="6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E16" i="6"/>
  <c r="D16" i="6"/>
  <c r="M15" i="6"/>
  <c r="L15" i="6"/>
  <c r="K15" i="6"/>
  <c r="J15" i="6"/>
  <c r="I15" i="6"/>
  <c r="H15" i="6"/>
  <c r="G15" i="6"/>
  <c r="F15" i="6"/>
  <c r="E15" i="6"/>
  <c r="D15" i="6"/>
  <c r="M14" i="6"/>
  <c r="L14" i="6"/>
  <c r="K14" i="6"/>
  <c r="J14" i="6"/>
  <c r="I14" i="6"/>
  <c r="H14" i="6"/>
  <c r="G14" i="6"/>
  <c r="F14" i="6"/>
  <c r="E14" i="6"/>
  <c r="D14" i="6"/>
  <c r="M13" i="6"/>
  <c r="L13" i="6"/>
  <c r="K13" i="6"/>
  <c r="J13" i="6"/>
  <c r="I13" i="6"/>
  <c r="H13" i="6"/>
  <c r="G13" i="6"/>
  <c r="F13" i="6"/>
  <c r="E13" i="6"/>
  <c r="D13" i="6"/>
  <c r="M12" i="6"/>
  <c r="L12" i="6"/>
  <c r="K12" i="6"/>
  <c r="J12" i="6"/>
  <c r="I12" i="6"/>
  <c r="H12" i="6"/>
  <c r="G12" i="6"/>
  <c r="F12" i="6"/>
  <c r="E12" i="6"/>
  <c r="D12" i="6"/>
  <c r="M11" i="6"/>
  <c r="L11" i="6"/>
  <c r="K11" i="6"/>
  <c r="J11" i="6"/>
  <c r="I11" i="6"/>
  <c r="H11" i="6"/>
  <c r="G11" i="6"/>
  <c r="F11" i="6"/>
  <c r="E11" i="6"/>
  <c r="D11" i="6"/>
  <c r="M10" i="6"/>
  <c r="L10" i="6"/>
  <c r="K10" i="6"/>
  <c r="J10" i="6"/>
  <c r="I10" i="6"/>
  <c r="H10" i="6"/>
  <c r="G10" i="6"/>
  <c r="F10" i="6"/>
  <c r="E10" i="6"/>
  <c r="D10" i="6"/>
  <c r="M9" i="6"/>
  <c r="L9" i="6"/>
  <c r="K9" i="6"/>
  <c r="J9" i="6"/>
  <c r="I9" i="6"/>
  <c r="H9" i="6"/>
  <c r="G9" i="6"/>
  <c r="F9" i="6"/>
  <c r="E9" i="6"/>
  <c r="D9" i="6"/>
  <c r="M8" i="6"/>
  <c r="L8" i="6"/>
  <c r="K8" i="6"/>
  <c r="J8" i="6"/>
  <c r="I8" i="6"/>
  <c r="H8" i="6"/>
  <c r="G8" i="6"/>
  <c r="F8" i="6"/>
  <c r="E8" i="6"/>
  <c r="D8" i="6"/>
  <c r="M7" i="6"/>
  <c r="L7" i="6"/>
  <c r="K7" i="6"/>
  <c r="J7" i="6"/>
  <c r="I7" i="6"/>
  <c r="H7" i="6"/>
  <c r="G7" i="6"/>
  <c r="F7" i="6"/>
  <c r="E7" i="6"/>
  <c r="D7" i="6"/>
  <c r="M6" i="6"/>
  <c r="L6" i="6"/>
  <c r="K6" i="6"/>
  <c r="J6" i="6"/>
  <c r="I6" i="6"/>
  <c r="H6" i="6"/>
  <c r="G6" i="6"/>
  <c r="F6" i="6"/>
  <c r="E6" i="6"/>
  <c r="D6" i="6"/>
  <c r="M5" i="6"/>
  <c r="L5" i="6"/>
  <c r="K5" i="6"/>
  <c r="J5" i="6"/>
  <c r="I5" i="6"/>
  <c r="H5" i="6"/>
  <c r="G5" i="6"/>
  <c r="F5" i="6"/>
  <c r="E5" i="6"/>
  <c r="D5" i="6"/>
  <c r="M4" i="6"/>
  <c r="L4" i="6"/>
  <c r="K4" i="6"/>
  <c r="J4" i="6"/>
  <c r="I4" i="6"/>
  <c r="H4" i="6"/>
  <c r="G4" i="6"/>
  <c r="F4" i="6"/>
  <c r="E4" i="6"/>
  <c r="D4" i="6"/>
  <c r="M3" i="6"/>
  <c r="L3" i="6"/>
  <c r="K3" i="6"/>
  <c r="J3" i="6"/>
  <c r="I3" i="6"/>
  <c r="H3" i="6"/>
  <c r="G3" i="6"/>
  <c r="F3" i="6"/>
  <c r="E3" i="6"/>
  <c r="D3" i="6"/>
  <c r="BJ3" i="3"/>
  <c r="BI3" i="3"/>
  <c r="BH3" i="3"/>
  <c r="BG3" i="3"/>
  <c r="BF3" i="3"/>
  <c r="BE3" i="3"/>
  <c r="BD3" i="3"/>
  <c r="BC3" i="3"/>
  <c r="BB3" i="3"/>
  <c r="BA3" i="3"/>
  <c r="AX3" i="3"/>
  <c r="AW3" i="3"/>
  <c r="AV3" i="3"/>
  <c r="AU3" i="3"/>
  <c r="AT3" i="3"/>
  <c r="AS3" i="3"/>
  <c r="AR3" i="3"/>
  <c r="AQ3" i="3"/>
  <c r="AP3" i="3"/>
  <c r="AO3" i="3"/>
  <c r="AL3" i="3"/>
  <c r="AK3" i="3"/>
  <c r="AJ3" i="3"/>
  <c r="AI3" i="3"/>
  <c r="AH3" i="3"/>
  <c r="AG3" i="3"/>
  <c r="AF3" i="3"/>
  <c r="AE3" i="3"/>
  <c r="AD3" i="3"/>
  <c r="AC3" i="3"/>
  <c r="Z3" i="3"/>
  <c r="Y3" i="3"/>
  <c r="X3" i="3"/>
  <c r="W3" i="3"/>
  <c r="V3" i="3"/>
  <c r="U3" i="3"/>
  <c r="T3" i="3"/>
  <c r="S3" i="3"/>
  <c r="R3" i="3"/>
  <c r="Q3" i="3"/>
  <c r="N3" i="3"/>
  <c r="M3" i="3"/>
  <c r="L3" i="3"/>
  <c r="K3" i="3"/>
  <c r="J3" i="3"/>
  <c r="I3" i="3"/>
  <c r="H3" i="3"/>
  <c r="G3" i="3"/>
  <c r="F3" i="3"/>
  <c r="E3" i="3"/>
  <c r="G32" i="2"/>
  <c r="G31" i="2"/>
  <c r="G30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2" i="2"/>
  <c r="G11" i="2"/>
  <c r="G10" i="2"/>
  <c r="G9" i="2"/>
  <c r="G8" i="2"/>
  <c r="G7" i="2"/>
  <c r="G6" i="2"/>
  <c r="G5" i="2"/>
  <c r="G4" i="2"/>
  <c r="G3" i="2"/>
  <c r="G2" i="2"/>
  <c r="H21" i="2"/>
  <c r="H8" i="2"/>
  <c r="H20" i="2"/>
  <c r="H30" i="2"/>
  <c r="H19" i="2"/>
  <c r="H12" i="2"/>
  <c r="H27" i="2"/>
  <c r="H18" i="2"/>
  <c r="H17" i="2"/>
  <c r="H11" i="2"/>
  <c r="H5" i="2"/>
  <c r="H16" i="2"/>
  <c r="H22" i="2"/>
  <c r="H15" i="2"/>
  <c r="H31" i="2"/>
  <c r="H25" i="2"/>
  <c r="H24" i="2"/>
  <c r="H14" i="2"/>
  <c r="H10" i="2"/>
  <c r="H6" i="2"/>
  <c r="H2" i="2"/>
  <c r="H32" i="2"/>
  <c r="H3" i="2"/>
  <c r="H9" i="2"/>
  <c r="H28" i="2"/>
  <c r="H7" i="2"/>
  <c r="H26" i="2"/>
  <c r="H4" i="2"/>
  <c r="H23" i="2"/>
  <c r="F23" i="2" l="1"/>
  <c r="F26" i="2"/>
  <c r="F27" i="2"/>
  <c r="F24" i="2"/>
  <c r="F22" i="2"/>
  <c r="F30" i="2"/>
  <c r="F11" i="2"/>
  <c r="F32" i="2"/>
  <c r="F12" i="2"/>
  <c r="F4" i="2"/>
  <c r="F2" i="2"/>
  <c r="F25" i="2"/>
  <c r="F16" i="2"/>
  <c r="F17" i="2"/>
  <c r="F18" i="2"/>
  <c r="F28" i="2"/>
  <c r="F19" i="2"/>
  <c r="F8" i="2"/>
  <c r="F20" i="2"/>
  <c r="F21" i="2"/>
</calcChain>
</file>

<file path=xl/sharedStrings.xml><?xml version="1.0" encoding="utf-8"?>
<sst xmlns="http://schemas.openxmlformats.org/spreadsheetml/2006/main" count="1116" uniqueCount="270">
  <si>
    <t>GD</t>
  </si>
  <si>
    <t>PI</t>
  </si>
  <si>
    <t>UP</t>
  </si>
  <si>
    <t>CA</t>
  </si>
  <si>
    <t>BB</t>
  </si>
  <si>
    <t>Code</t>
  </si>
  <si>
    <t>Country</t>
  </si>
  <si>
    <t>Type</t>
  </si>
  <si>
    <t>1y1y swap rate</t>
  </si>
  <si>
    <t>JP</t>
  </si>
  <si>
    <t>Japan</t>
  </si>
  <si>
    <t>DM</t>
  </si>
  <si>
    <t>S0195FS 1Y1Y BLC Curncy</t>
  </si>
  <si>
    <t>NO</t>
  </si>
  <si>
    <t>Norway</t>
  </si>
  <si>
    <t>SD0312FS 1Y1Y BLC Curncy</t>
  </si>
  <si>
    <t>SE</t>
  </si>
  <si>
    <t>Sweden</t>
  </si>
  <si>
    <t>SD0020FS 1Y1Y BLC Curncy</t>
  </si>
  <si>
    <t>EU</t>
  </si>
  <si>
    <t>Euro Area</t>
  </si>
  <si>
    <t>EUSA0101 Index</t>
  </si>
  <si>
    <t>DE</t>
  </si>
  <si>
    <t>Germany</t>
  </si>
  <si>
    <t>G0016 1Y1Y BLC2 Curncy</t>
  </si>
  <si>
    <t>FR</t>
  </si>
  <si>
    <t>France</t>
  </si>
  <si>
    <t>G0014 1Y1Y BLC2 Curncy</t>
  </si>
  <si>
    <t>IT</t>
  </si>
  <si>
    <t>Italy</t>
  </si>
  <si>
    <t>G0040 1Y1Y BLC2 Curncy</t>
  </si>
  <si>
    <t>GB</t>
  </si>
  <si>
    <t>UK</t>
  </si>
  <si>
    <t>S0141FS 1Y1Y BLC Curncy</t>
  </si>
  <si>
    <t>SP</t>
  </si>
  <si>
    <t>Spain</t>
  </si>
  <si>
    <t>G0061 1Y1Y BLC2 Curncy</t>
  </si>
  <si>
    <t>US</t>
  </si>
  <si>
    <t>Canada</t>
  </si>
  <si>
    <t>SD0004FS 1Y1Y BLC Curncy</t>
  </si>
  <si>
    <t>AU</t>
  </si>
  <si>
    <t>Australia</t>
  </si>
  <si>
    <t>S0303FS 1Y1Y BLC Curncy</t>
  </si>
  <si>
    <t>NZ</t>
  </si>
  <si>
    <t>New Zealand</t>
  </si>
  <si>
    <t>CH</t>
  </si>
  <si>
    <t>Switzerland</t>
  </si>
  <si>
    <t>S0234FS 1Y1Y BLC Curncy</t>
  </si>
  <si>
    <t>TR</t>
  </si>
  <si>
    <t>Turkey</t>
  </si>
  <si>
    <t>EM</t>
  </si>
  <si>
    <t>S0522FS 1Y1Y BLC Curncy</t>
  </si>
  <si>
    <t>TH</t>
  </si>
  <si>
    <t>Thailand</t>
  </si>
  <si>
    <t>S0552FS 1Y1Y BLC Curncy</t>
  </si>
  <si>
    <t>ID</t>
  </si>
  <si>
    <t>Indonesia</t>
  </si>
  <si>
    <t>G0266 1Y1Y BLC2 Curncy</t>
  </si>
  <si>
    <t>MY</t>
  </si>
  <si>
    <t>Malaysia</t>
  </si>
  <si>
    <t>S0209FS 1Y1Y BLC Curncy</t>
  </si>
  <si>
    <t>ZA</t>
  </si>
  <si>
    <t>South Africa</t>
  </si>
  <si>
    <t>SAFS0101 Index</t>
  </si>
  <si>
    <t>CN</t>
  </si>
  <si>
    <t>China</t>
  </si>
  <si>
    <t>S0204FS 1Y1Y BLC Curncy</t>
  </si>
  <si>
    <t>IL</t>
  </si>
  <si>
    <t>Israel</t>
  </si>
  <si>
    <t>ISFS0101 BLC Curncy</t>
  </si>
  <si>
    <t>KR</t>
  </si>
  <si>
    <t>South Korea</t>
  </si>
  <si>
    <t>S0205FS 1Y1Y BLC Curncy</t>
  </si>
  <si>
    <t>PH</t>
  </si>
  <si>
    <t>Philippines</t>
  </si>
  <si>
    <t>G0105 1Y1Y BLC2 Curncy</t>
  </si>
  <si>
    <t>MX</t>
  </si>
  <si>
    <t>Mexico</t>
  </si>
  <si>
    <t>MPFS0101 BLC Curncy</t>
  </si>
  <si>
    <t>BR</t>
  </si>
  <si>
    <t>Brazil</t>
  </si>
  <si>
    <t>G0393 1Y1Y BLC2 Curncy</t>
  </si>
  <si>
    <t>CL</t>
  </si>
  <si>
    <t>Chile</t>
  </si>
  <si>
    <t>CHFS0101 BLC Curncy</t>
  </si>
  <si>
    <t>CO</t>
  </si>
  <si>
    <t>Columbia</t>
  </si>
  <si>
    <t>S0329FS 1Y1Y BLC Curncy</t>
  </si>
  <si>
    <t>IN</t>
  </si>
  <si>
    <t>India</t>
  </si>
  <si>
    <t>RU</t>
  </si>
  <si>
    <t>Russia</t>
  </si>
  <si>
    <t>S0513FS 1Y1Y BLC Curncy</t>
  </si>
  <si>
    <t>CZ</t>
  </si>
  <si>
    <t>Czech</t>
  </si>
  <si>
    <t>S0319FS 1Y1Y BLC Curncy</t>
  </si>
  <si>
    <t>HU</t>
  </si>
  <si>
    <t>Hungary</t>
  </si>
  <si>
    <t>S0324FS 1Y1Y BLC Curncy</t>
  </si>
  <si>
    <t>PO</t>
  </si>
  <si>
    <t>Poland</t>
  </si>
  <si>
    <t>S0322FS 1Y1Y BLC Curncy</t>
  </si>
  <si>
    <t>VN</t>
  </si>
  <si>
    <t>Vietnam</t>
  </si>
  <si>
    <t>Taiwan</t>
  </si>
  <si>
    <t>Export Ticker</t>
  </si>
  <si>
    <t>Freq</t>
  </si>
  <si>
    <t>DataType</t>
  </si>
  <si>
    <t>SA</t>
  </si>
  <si>
    <t>ECOYEJPN Index</t>
  </si>
  <si>
    <t>M</t>
  </si>
  <si>
    <t>Outright</t>
  </si>
  <si>
    <t>NOGDNNTE Index</t>
  </si>
  <si>
    <t>Q</t>
  </si>
  <si>
    <t>N</t>
  </si>
  <si>
    <t>SWGDESGY Index</t>
  </si>
  <si>
    <t>YoY</t>
  </si>
  <si>
    <t>ECEXEMU Index</t>
  </si>
  <si>
    <t>GDPBNXGY Index</t>
  </si>
  <si>
    <t>FRNGEXPY Index</t>
  </si>
  <si>
    <t>ITTRESA Index</t>
  </si>
  <si>
    <t>Y</t>
  </si>
  <si>
    <t>ECOYEUKS Index</t>
  </si>
  <si>
    <t>SPNAEXAB Index</t>
  </si>
  <si>
    <t>ECOYEUSS Index</t>
  </si>
  <si>
    <t>CGEBXPRT Index</t>
  </si>
  <si>
    <t>AUITEXPY Index</t>
  </si>
  <si>
    <t>ECOYENZN Index</t>
  </si>
  <si>
    <t>SZGNEXPY Index</t>
  </si>
  <si>
    <t>TUQNEXY Index</t>
  </si>
  <si>
    <t>ECOYETHN Index</t>
  </si>
  <si>
    <t>IDCGREXY Index</t>
  </si>
  <si>
    <t>ECOYEMYN Index</t>
  </si>
  <si>
    <t>ZANSXGSY Index</t>
  </si>
  <si>
    <t>ECOYECNN Index</t>
  </si>
  <si>
    <t>ISCAEXSA Index</t>
  </si>
  <si>
    <t>KOEGSEMP Index</t>
  </si>
  <si>
    <t>PHMTEXPG Index</t>
  </si>
  <si>
    <t>ECOYEMXN Index</t>
  </si>
  <si>
    <t>BZGDEXP$ Index</t>
  </si>
  <si>
    <t>CLNXEOSY Index</t>
  </si>
  <si>
    <t>COUDXGSY Index</t>
  </si>
  <si>
    <t>IGQNEXP Index</t>
  </si>
  <si>
    <t>RUGCNEEY Index</t>
  </si>
  <si>
    <t>CZGYET Index</t>
  </si>
  <si>
    <t>HUGQEXP Index</t>
  </si>
  <si>
    <t>PODPEXOY Index</t>
  </si>
  <si>
    <t>TW</t>
  </si>
  <si>
    <t>TWNCNEX Index</t>
  </si>
  <si>
    <t>VEEXMTY% Index</t>
  </si>
  <si>
    <t>AR</t>
  </si>
  <si>
    <t>Argentina</t>
  </si>
  <si>
    <t>ECOYEARN Index</t>
  </si>
  <si>
    <t>SG</t>
  </si>
  <si>
    <t>Singapore</t>
  </si>
  <si>
    <t>SGDPEGS Index</t>
  </si>
  <si>
    <t>PHEXYOY Index</t>
  </si>
  <si>
    <t>S0203FS 1Y1Y BLC Curncy</t>
  </si>
  <si>
    <t>GGVB2YR VBMA Index</t>
  </si>
  <si>
    <t>FC02ARGE Index</t>
  </si>
  <si>
    <t>S0527FS 1Y1Y BLC Curncy</t>
  </si>
  <si>
    <t>12m</t>
  </si>
  <si>
    <t>6m</t>
  </si>
  <si>
    <t>M2</t>
  </si>
  <si>
    <t>JP.CREDIT.TOTAL.IMPL.12M.M</t>
  </si>
  <si>
    <t>JP.CREDIT.TOTAL.IMPL.6M.M</t>
  </si>
  <si>
    <t>NO.CREDIT.TOTAL.IMPL.12M.M</t>
  </si>
  <si>
    <t>NO.CREDIT.TOTAL.IMPL.6M.M</t>
  </si>
  <si>
    <t>SE.CREDIT.TOTAL.IMPL.12M.M</t>
  </si>
  <si>
    <t>SE.CREDIT.TOTAL.IMPL.6M.M</t>
  </si>
  <si>
    <t>EU.CREDIT.TOTAL.IMPL.12M.M</t>
  </si>
  <si>
    <t>EU.CREDIT.TOTAL.IMPL.6M.M</t>
  </si>
  <si>
    <t>DE.CREDIT.TOTAL.IMPL.12M.M</t>
  </si>
  <si>
    <t>DE.CREDIT.TOTAL.IMPL.6M.M</t>
  </si>
  <si>
    <t>FR.CREDIT.TOTAL.IMPL.12M.M</t>
  </si>
  <si>
    <t>FR.CREDIT.TOTAL.IMPL.6M.M</t>
  </si>
  <si>
    <t>IT.CREDIT.TOTAL.IMPL.12M.M</t>
  </si>
  <si>
    <t>IT.CREDIT.TOTAL.IMPL.6M.M</t>
  </si>
  <si>
    <t>GB.CREDIT.TOTAL.IMPL.12M.M</t>
  </si>
  <si>
    <t>GB.CREDIT.TOTAL.IMPL.6M.M</t>
  </si>
  <si>
    <t>SP.CREDIT.TOTAL.IMPL.12M.M</t>
  </si>
  <si>
    <t>SP.CREDIT.TOTAL.IMPL.6M.M</t>
  </si>
  <si>
    <t>US.CREDIT.TOTAL.IMPL.12M.M</t>
  </si>
  <si>
    <t>US.CREDIT.TOTAL.IMPL.6M.M</t>
  </si>
  <si>
    <t>CA.CREDIT.TOTAL.IMPL.12M.M</t>
  </si>
  <si>
    <t>CA.CREDIT.TOTAL.IMPL.6M.M</t>
  </si>
  <si>
    <t>AU.CREDIT.TOTAL.IMPL.12M.M</t>
  </si>
  <si>
    <t>AU.CREDIT.TOTAL.IMPL.6M.M</t>
  </si>
  <si>
    <t>NZ.CREDIT.TOTAL.IMPL.12M.M</t>
  </si>
  <si>
    <t>NZ.CREDIT.TOTAL.IMPL.6M.M</t>
  </si>
  <si>
    <t>CH.CREDIT.TOTAL.IMPL.12M.M</t>
  </si>
  <si>
    <t>CH.CREDIT.TOTAL.IMPL.6M.M</t>
  </si>
  <si>
    <t>TR.CREDIT.TOTAL.IMPL.12M.M</t>
  </si>
  <si>
    <t>TR.CREDIT.TOTAL.IMPL.6M.M</t>
  </si>
  <si>
    <t>TH.CREDIT.TOTAL.IMPL.12M.M</t>
  </si>
  <si>
    <t>TH.CREDIT.TOTAL.IMPL.6M.M</t>
  </si>
  <si>
    <t>ID.CREDIT.TOTAL.IMPL.12M.M</t>
  </si>
  <si>
    <t>ID.CREDIT.TOTAL.IMPL.6M.M</t>
  </si>
  <si>
    <t>MY.CREDIT.TOTAL.IMPL.12M.M</t>
  </si>
  <si>
    <t>MY.CREDIT.TOTAL.IMPL.6M.M</t>
  </si>
  <si>
    <t>ZA.CREDIT.TOTAL.IMPL.12M.M</t>
  </si>
  <si>
    <t>ZA.CREDIT.TOTAL.IMPL.6M.M</t>
  </si>
  <si>
    <t>CN.CREDIT.TOTAL.IMPL.12M.M</t>
  </si>
  <si>
    <t>CN.CREDIT.TOTAL.IMPL.6M.M</t>
  </si>
  <si>
    <t>IL.CREDIT.TOTAL.IMPL.12M.M</t>
  </si>
  <si>
    <t>IL.CREDIT.TOTAL.IMPL.6M.M</t>
  </si>
  <si>
    <t>KR.CREDIT.TOTAL.IMPL.12M.M</t>
  </si>
  <si>
    <t>KR.CREDIT.TOTAL.IMPL.6M.M</t>
  </si>
  <si>
    <t>PH.CREDIT.TOTAL.IMPL.12M.M</t>
  </si>
  <si>
    <t>PH.CREDIT.TOTAL.IMPL.6M.M</t>
  </si>
  <si>
    <t>MX.CREDIT.TOTAL.IMPL.12M.M</t>
  </si>
  <si>
    <t>MX.CREDIT.TOTAL.IMPL.6M.M</t>
  </si>
  <si>
    <t>BR.CREDIT.TOTAL.IMPL.12M.M</t>
  </si>
  <si>
    <t>BR.CREDIT.TOTAL.IMPL.6M.M</t>
  </si>
  <si>
    <t>CL.CREDIT.TOTAL.IMPL.12M.M</t>
  </si>
  <si>
    <t>CL.CREDIT.TOTAL.IMPL.6M.M</t>
  </si>
  <si>
    <t>CO.CREDIT.TOTAL.IMPL.12M.M</t>
  </si>
  <si>
    <t>CO.CREDIT.TOTAL.IMPL.6M.M</t>
  </si>
  <si>
    <t>IN.CREDIT.TOTAL.IMPL.12M.M</t>
  </si>
  <si>
    <t>IN.CREDIT.TOTAL.IMPL.6M.M</t>
  </si>
  <si>
    <t>RU.CREDIT.TOTAL.IMPL.12M.M</t>
  </si>
  <si>
    <t>RU.CREDIT.TOTAL.IMPL.6M.M</t>
  </si>
  <si>
    <t>CZ.CREDIT.TOTAL.IMPL.12M.M</t>
  </si>
  <si>
    <t>CZ.CREDIT.TOTAL.IMPL.6M.M</t>
  </si>
  <si>
    <t>CZMSMS2 Index</t>
  </si>
  <si>
    <t>ECORCZN Index discontinue since 2015</t>
  </si>
  <si>
    <t>HU.CREDIT.TOTAL.IMPL.12M.M</t>
  </si>
  <si>
    <t>HU.CREDIT.TOTAL.IMPL.6M.M</t>
  </si>
  <si>
    <t>PO.CREDIT.TOTAL.IMPL.12M.M</t>
  </si>
  <si>
    <t>PO.CREDIT.TOTAL.IMPL.6M.M</t>
  </si>
  <si>
    <t xml:space="preserve"> https://www.exantedata.com/data-explorer-v2/?hflag=1&amp;t=Q1ouQ1JFRElULlRPVEFMLklNUEwuMTJNLk0sIEhVLkNSRURJVC5UT1RBTC5JTVBMLjEyTS5NLCBQTy5DUkVESVQuVE9UQUwuSU1QTC4xMk0uTSwgU0UuQ1JFRElULlRPVEFMLklNUEwuMTJNLk0sIEVVLkNSRURJVC5UT1RBTC5JTVBMLjEyTS5NLCBERS5DUkVESVQuVE9UQUwuSU1QTC4xMk0uTSwgRlIuQ1JFRElULlRPVEFMLklNUEwuMTJNLk0sIElULkNSRURJVC5UT1RBTC5JTVBMLjEyTS5NLCBHQi5DUkVESVQuVE9UQUwuSU1QTC4xMk0uTSwgU1AuQ1JFRElULlRPVEFMLklNUEwuMTJNLk0sIFVTLkNSRURJVC5UT1RBTC5JTVBMLjEyTS5NLCBDQS5DUkVESVQuVE9UQUwuSU1QTC4xMk0uTSwgQVUuQ1JFRElULlRPVEFMLklNUEwuMTJNLk0sIE5aLkNSRURJVC5UT1RBTC5JTVBMLjEyTS5NLCBUUi5DUkVESVQuVE9UQUwuSU1QTC4xMk0uTSwgVEguQ1JFRElULlRPVEFMLklNUEwuMTJNLk0sIElELkNSRURJVC5UT1RBTC5JTVBMLjEyTS5NLCBNWS5DUkVESVQuVE9UQUwuSU1QTC4xMk0uTSwgWkEuQ1JFRElULlRPVEFMLklNUEwuMTJNLk0sIENOLkNSRURJVC5UT1RBTC5JTVBMLjEyTS5NLCBJTC5DUkVESVQuVE9UQUwuSU1QTC4xMk0uTSwgSlAuQ1JFRElULlRPVEFMLklNUEwuMTJNLk0sIEtSLkNSRURJVC5UT1RBTC5JTVBMLjEyTS5NLCBQSC5DUkVESVQuVE9UQUwuSU1QTC4xMk0uTSwgTk8uQ1JFRElULlRPVEFMLklNUEwuMTJNLk0sIE1YLkNSRURJVC5UT1RBTC5JTVBMLjEyTS5NLCBCUi5DUkVESVQuVE9UQUwuSU1QTC4xMk0uTSwgQ0wuQ1JFRElULlRPVEFMLklNUEwuMTJNLk0sIENPLkNSRURJVC5UT1RBTC5JTVBMLjEyTS5NLCBJTi5DUkVESVQuVE9UQUwuSU1QTC4xMk0uTSwgUlUuQ1JFRElULlRPVEFMLklNUEwuMTJNLk0sIENaLkNSRURJVC5UT1RBTC5JTVBMLjZNLk0sIEhVLkNSRURJVC5UT1RBTC5JTVBMLjZNLk0sIFNFLkNSRURJVC5UT1RBTC5JTVBMLjZNLk0sIFBPLkNSRURJVC5UT1RBTC5JTVBMLjZNLk0sIEVVLkNSRURJVC5UT1RBTC5JTVBMLjZNLk0sIERFLkNSRURJVC5UT1RBTC5JTVBMLjZNLk0sIEZSLkNSRURJVC5UT1RBTC5JTVBMLjZNLk0sIElULkNSRURJVC5UT1RBTC5JTVBMLjZNLk0sIFNQLkNSRURJVC5UT1RBTC5JTVBMLjZNLk0sIEdCLkNSRURJVC5UT1RBTC5JTVBMLjZNLk0sIFVTLkNSRURJVC5UT1RBTC5JTVBMLjZNLk0sIENBLkNSRURJVC5UT1RBTC5JTVBMLjZNLk0sIEFVLkNSRURJVC5UT1RBTC5JTVBMLjZNLk0sIE5aLkNSRURJVC5UT1RBTC5JTVBMLjZNLk0sIFRSLkNSRURJVC5UT1RBTC5JTVBMLjZNLk0sIElELkNSRURJVC5UT1RBTC5JTVBMLjZNLk0sIFRILkNSRURJVC5UT1RBTC5JTVBMLjZNLk0sIE1ZLkNSRURJVC5UT1RBTC5JTVBMLjZNLk0sIFpBLkNSRURJVC5UT1RBTC5JTVBMLjZNLk0sIENOLkNSRURJVC5UT1RBTC5JTVBMLjZNLk0sIElMLkNSRURJVC5UT1RBTC5JTVBMLjZNLk0sIEpQLkNSRURJVC5UT1RBTC5JTVBMLjZNLk0sIEtSLkNSRURJVC5UT1RBTC5JTVBMLjZNLk0sIFBILkNSRURJVC5UT1RBTC5JTVBMLjZNLk0sIE5PLkNSRURJVC5UT1RBTC5JTVBMLjZNLk0sIE1YLkNSRURJVC5UT1RBTC5JTVBMLjZNLk0sIEJSLkNSRURJVC5UT1RBTC5JTVBMLjZNLk0sIENMLkNSRURJVC5UT1RBTC5JTVBMLjZNLk0sIENPLkNSRURJVC5UT1RBTC5JTVBMLjZNLk0sIElOLkNSRURJVC5UT1RBTC5JTVBMLjZNLk0sIFJVLkNSRURJVC5UT1RBTC5JTVBMLjZNLk0sIENILkNSRURJVC5UT1RBTC5JTVBMLjEyTS5NLCBDSC5DUkVESVQuVE9UQUwuSU1QTC42TS5N&amp;sd=null&amp;p=sop</t>
  </si>
  <si>
    <t>Ticker AutoSales</t>
  </si>
  <si>
    <t>Ticket CementProd</t>
  </si>
  <si>
    <t>KOVMTOTS Index</t>
  </si>
  <si>
    <t>CNVSTTL Index</t>
  </si>
  <si>
    <t>CHMMCEMT Index</t>
  </si>
  <si>
    <t>BZASTOTL Index</t>
  </si>
  <si>
    <t>FADAINPV Index</t>
  </si>
  <si>
    <t>start from 2019</t>
  </si>
  <si>
    <t>INFRCEM Index</t>
  </si>
  <si>
    <t>ASEAPHLS Index</t>
  </si>
  <si>
    <t>CEMOVNPR Index</t>
  </si>
  <si>
    <t>TWVSTTL Index</t>
  </si>
  <si>
    <t>NAAMCARS Index</t>
  </si>
  <si>
    <t>OEPLZRHS Index</t>
  </si>
  <si>
    <t>HURT4RY Index</t>
  </si>
  <si>
    <t>Hungary Retail Sales of Motor Vehicles and Vehicle Parts and Accessories</t>
  </si>
  <si>
    <t>OECZZRHS Index</t>
  </si>
  <si>
    <t>MXVHTOTL Index</t>
  </si>
  <si>
    <t>CHVSAUTO Index</t>
  </si>
  <si>
    <t>COVSAUTO Index</t>
  </si>
  <si>
    <t>OEILZRHZ Index</t>
  </si>
  <si>
    <t>RUAUTTYY Index</t>
  </si>
  <si>
    <t>Peru</t>
  </si>
  <si>
    <t>Colombia</t>
  </si>
  <si>
    <t>S Africa</t>
  </si>
  <si>
    <t>Czechia</t>
  </si>
  <si>
    <t>S Korea</t>
  </si>
  <si>
    <t>S0490FS 1Y1Y BLC Curncy</t>
  </si>
  <si>
    <t>NDFS0101 BLC Curncy</t>
  </si>
  <si>
    <t>S0266FC 1Y1Y BLC Curncy</t>
  </si>
  <si>
    <t>IDVHCLOC Index</t>
  </si>
  <si>
    <t>MAVRTOTL Index</t>
  </si>
  <si>
    <t>THVPRS Index</t>
  </si>
  <si>
    <t>ARVSARTL Index</t>
  </si>
  <si>
    <t>TUMVTOT Index</t>
  </si>
  <si>
    <t>VECSTOTL Index</t>
  </si>
  <si>
    <t>INMSM3 Index</t>
  </si>
  <si>
    <t>ECORPLN Index</t>
  </si>
  <si>
    <t>AUM3M3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</si>
</sst>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9D9CA4"/>
      <name val="Arial"/>
      <family val="2"/>
    </font>
    <font>
      <sz val="11"/>
      <color rgb="FF000000"/>
      <name val="Times New Roman"/>
      <family val="2"/>
    </font>
    <font>
      <sz val="10"/>
      <color rgb="FF067D17"/>
      <name val="JetBrains Mono"/>
      <family val="2"/>
    </font>
    <font>
      <sz val="10"/>
      <color rgb="FF080808"/>
      <name val="JetBrains Mono"/>
      <family val="2"/>
    </font>
    <font>
      <sz val="11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E6E7E7"/>
      </left>
      <right style="thin">
        <color rgb="FFC6C6C6"/>
      </right>
      <top style="thin">
        <color rgb="FFE6E7E7"/>
      </top>
      <bottom style="medium">
        <color rgb="FFE6E7E7"/>
      </bottom>
      <diagonal/>
    </border>
    <border>
      <left style="medium">
        <color rgb="FFE6E7E7"/>
      </left>
      <right style="thin">
        <color rgb="FFC6C6C6"/>
      </right>
      <top style="thin">
        <color rgb="FFC6C6C6"/>
      </top>
      <bottom style="medium">
        <color rgb="FFE6E7E7"/>
      </bottom>
      <diagonal/>
    </border>
    <border>
      <left/>
      <right/>
      <top/>
      <bottom style="thin">
        <color rgb="FF000000"/>
      </bottom>
      <diagonal/>
    </border>
    <border>
      <left style="medium">
        <color rgb="FFE6E7E7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E6E7E7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3" fontId="2" fillId="2" borderId="3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2" borderId="4" xfId="0" applyNumberFormat="1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3" fontId="2" fillId="2" borderId="6" xfId="0" applyNumberFormat="1" applyFont="1" applyFill="1" applyBorder="1" applyAlignment="1">
      <alignment horizontal="left"/>
    </xf>
    <xf numFmtId="3" fontId="2" fillId="2" borderId="7" xfId="0" applyNumberFormat="1" applyFont="1" applyFill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left"/>
    </xf>
    <xf numFmtId="3" fontId="0" fillId="0" borderId="0" xfId="0" applyNumberFormat="1" applyAlignment="1"/>
    <xf numFmtId="3" fontId="0" fillId="0" borderId="0" xfId="0" applyNumberFormat="1" applyAlignment="1"/>
    <xf numFmtId="0" fontId="2" fillId="2" borderId="4" xfId="0" applyFont="1" applyFill="1" applyBorder="1" applyAlignment="1">
      <alignment horizontal="left"/>
    </xf>
    <xf numFmtId="0" fontId="0" fillId="0" borderId="0" xfId="0" applyAlignment="1"/>
    <xf numFmtId="0" fontId="2" fillId="3" borderId="4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5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20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Data...3432292128</v>
        <stp/>
        <stp>BDP|14615121896010033626</stp>
        <tr r="H15" s="2"/>
      </tp>
      <tp t="s">
        <v>#N/A Requesting Data...3407556687</v>
        <stp/>
        <stp>BDP|14362428532418820098</stp>
        <tr r="H29" s="2"/>
      </tp>
      <tp t="s">
        <v>#N/A Requesting Data...3516951398</v>
        <stp/>
        <stp>BDP|12601329467218781686</stp>
        <tr r="H12" s="2"/>
      </tp>
      <tp t="s">
        <v>#N/A Requesting Data...3772383912</v>
        <stp/>
        <stp>BDP|18142208532235449364</stp>
        <tr r="H28" s="2"/>
      </tp>
      <tp t="s">
        <v>#N/A Requesting Data...3484071862</v>
        <stp/>
        <stp>BDP|13292819851366103700</stp>
        <tr r="H6" s="2"/>
      </tp>
      <tp t="s">
        <v>#N/A Requesting Data...3792509526</v>
        <stp/>
        <stp>BDP|15712296342749231630</stp>
        <tr r="H31" s="2"/>
      </tp>
      <tp t="s">
        <v>#N/A Requesting Data...3475346909</v>
        <stp/>
        <stp>BDP|16891353992193822294</stp>
        <tr r="H10" s="2"/>
      </tp>
      <tp t="s">
        <v>#N/A Requesting Data...3671733049</v>
        <stp/>
        <stp>BDP|15988665571331631751</stp>
        <tr r="H13" s="2"/>
      </tp>
      <tp t="s">
        <v>#N/A Requesting Data...3738575007</v>
        <stp/>
        <stp>BDP|11089741609416356105</stp>
        <tr r="H26" s="2"/>
      </tp>
      <tp t="s">
        <v>#N/A Requesting Data...3652805437</v>
        <stp/>
        <stp>BDP|12278102717777476458</stp>
        <tr r="H30" s="2"/>
      </tp>
      <tp t="s">
        <v>#N/A Requesting Data...3497097544</v>
        <stp/>
        <stp>BDP|14657275662844460510</stp>
        <tr r="H32" s="2"/>
      </tp>
      <tp t="s">
        <v>#N/A Requesting Data...3333231088</v>
        <stp/>
        <stp>BDP|15466454702190838739</stp>
        <tr r="H24" s="2"/>
      </tp>
      <tp t="s">
        <v>#N/A Requesting Data...3383422246</v>
        <stp/>
        <stp>BDP|13935734728442084252</stp>
        <tr r="H17" s="2"/>
      </tp>
      <tp t="s">
        <v>#N/A Requesting Data...3753351961</v>
        <stp/>
        <stp>BDP|10889473030221564220</stp>
        <tr r="H23" s="2"/>
      </tp>
      <tp t="s">
        <v>#N/A Requesting Data...3331279791</v>
        <stp/>
        <stp>BDP|14266809889093579283</stp>
        <tr r="H2" s="2"/>
      </tp>
    </main>
    <main first="bofaddin.rtdserver">
      <tp t="s">
        <v>#N/A Requesting Data...3946576218</v>
        <stp/>
        <stp>BDP|4882349595314035792</stp>
        <tr r="H27" s="2"/>
      </tp>
      <tp t="s">
        <v>#N/A Requesting Data...3679732300</v>
        <stp/>
        <stp>BDP|6879191780740840004</stp>
        <tr r="H7" s="2"/>
      </tp>
      <tp t="s">
        <v>#N/A Requesting Data...3500782674</v>
        <stp/>
        <stp>BDP|7926767101555718027</stp>
        <tr r="H5" s="2"/>
      </tp>
      <tp t="s">
        <v>#N/A Requesting Data...3652315109</v>
        <stp/>
        <stp>BDP|8216187258408350183</stp>
        <tr r="H33" s="2"/>
      </tp>
      <tp t="s">
        <v>#N/A Requesting Data...3639149722</v>
        <stp/>
        <stp>BDP|1833078607805733247</stp>
        <tr r="H18" s="2"/>
      </tp>
      <tp t="s">
        <v>#N/A Requesting Data...4220070694</v>
        <stp/>
        <stp>BDP|1289626649231287553</stp>
        <tr r="H4" s="2"/>
      </tp>
      <tp t="s">
        <v>#N/A Requesting Data...4238286242</v>
        <stp/>
        <stp>BDP|6210938037813154854</stp>
        <tr r="H8" s="2"/>
      </tp>
      <tp t="s">
        <v>#N/A Requesting Data...3926148549</v>
        <stp/>
        <stp>BDP|5167722009460244248</stp>
        <tr r="H25" s="2"/>
      </tp>
      <tp t="s">
        <v>#N/A Requesting Data...3853107873</v>
        <stp/>
        <stp>BDP|7547257631820624649</stp>
        <tr r="H16" s="2"/>
      </tp>
      <tp t="s">
        <v>#N/A Requesting Data...3471414682</v>
        <stp/>
        <stp>BDP|4568010936445724234</stp>
        <tr r="H3" s="2"/>
      </tp>
      <tp t="s">
        <v>#N/A Requesting Data...3689129564</v>
        <stp/>
        <stp>BDP|2377219439982471349</stp>
        <tr r="H11" s="2"/>
      </tp>
      <tp t="s">
        <v>#N/A Requesting Data...3530647878</v>
        <stp/>
        <stp>BDP|8486914968800653550</stp>
        <tr r="H14" s="2"/>
      </tp>
      <tp t="s">
        <v>#N/A Requesting Data...3687543519</v>
        <stp/>
        <stp>BDP|4473216904494104013</stp>
        <tr r="H9" s="2"/>
      </tp>
      <tp t="s">
        <v>#N/A Requesting Data...3383544627</v>
        <stp/>
        <stp>BDP|2276973885440739138</stp>
        <tr r="H22" s="2"/>
      </tp>
      <tp t="s">
        <v>#N/A Requesting Data...4127404974</v>
        <stp/>
        <stp>BDP|3218177894280325970</stp>
        <tr r="H20" s="2"/>
      </tp>
      <tp t="s">
        <v>#N/A Requesting Data...3841334103</v>
        <stp/>
        <stp>BDP|314271695677350079</stp>
        <tr r="H21" s="2"/>
      </tp>
      <tp t="s">
        <v>#N/A Requesting Data...3910541976</v>
        <stp/>
        <stp>BDP|614369187523531311</stp>
        <tr r="H19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AX37"/>
  <sheetViews>
    <sheetView workbookViewId="0">
      <selection activeCell="A5" sqref="A5"/>
    </sheetView>
  </sheetViews>
  <sheetFormatPr defaultRowHeight="14.4"/>
  <cols>
    <col min="1" max="1" width="11.6640625" style="10" bestFit="1" customWidth="1"/>
    <col min="2" max="2" width="17.33203125" style="10" bestFit="1" customWidth="1"/>
    <col min="3" max="3" width="22.109375" style="10" bestFit="1" customWidth="1"/>
    <col min="4" max="4" width="18.109375" style="10" bestFit="1" customWidth="1"/>
    <col min="5" max="50" width="13.5546875" style="10" bestFit="1" customWidth="1"/>
  </cols>
  <sheetData>
    <row r="1" spans="1:50" ht="18.75" customHeight="1">
      <c r="A1" s="1" t="s">
        <v>6</v>
      </c>
      <c r="B1" s="1" t="s">
        <v>231</v>
      </c>
      <c r="C1" s="1"/>
      <c r="D1" s="1" t="s">
        <v>232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8.75" customHeight="1">
      <c r="A2" s="1" t="s">
        <v>71</v>
      </c>
      <c r="B2" s="1" t="s">
        <v>233</v>
      </c>
      <c r="C2" s="1"/>
      <c r="D2" s="1"/>
      <c r="E2" s="1"/>
      <c r="F2" s="1">
        <v>1</v>
      </c>
      <c r="G2" s="1"/>
      <c r="H2" t="s">
        <v>253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8.75" customHeight="1">
      <c r="A3" s="1" t="s">
        <v>65</v>
      </c>
      <c r="B3" s="21" t="s">
        <v>234</v>
      </c>
      <c r="C3" s="1"/>
      <c r="D3" s="1" t="s">
        <v>235</v>
      </c>
      <c r="E3" s="1"/>
      <c r="F3" s="1">
        <v>1</v>
      </c>
      <c r="G3" s="1"/>
      <c r="H3" t="s">
        <v>80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8.75" customHeight="1">
      <c r="A4" s="1" t="s">
        <v>80</v>
      </c>
      <c r="B4" s="22" t="s">
        <v>236</v>
      </c>
      <c r="C4" s="1"/>
      <c r="D4" s="1"/>
      <c r="E4" s="1"/>
      <c r="F4" s="1">
        <v>1</v>
      </c>
      <c r="G4" s="1"/>
      <c r="H4" t="s">
        <v>254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8.75" customHeight="1">
      <c r="A5" s="1" t="s">
        <v>89</v>
      </c>
      <c r="B5" s="1" t="s">
        <v>237</v>
      </c>
      <c r="C5" s="1" t="s">
        <v>238</v>
      </c>
      <c r="D5" s="1" t="s">
        <v>239</v>
      </c>
      <c r="E5" s="1"/>
      <c r="F5" s="15">
        <v>1</v>
      </c>
      <c r="G5" s="1"/>
      <c r="H5" t="s">
        <v>83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8.75" customHeight="1">
      <c r="A6" s="1" t="s">
        <v>56</v>
      </c>
      <c r="B6" s="1" t="s">
        <v>261</v>
      </c>
      <c r="C6" s="1"/>
      <c r="D6" s="1"/>
      <c r="E6" s="1"/>
      <c r="F6" s="15">
        <v>1</v>
      </c>
      <c r="G6" s="1"/>
      <c r="H6" t="s">
        <v>255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18.75" customHeight="1">
      <c r="A7" s="1" t="s">
        <v>59</v>
      </c>
      <c r="B7" s="1" t="s">
        <v>262</v>
      </c>
      <c r="C7" s="1"/>
      <c r="D7" s="1"/>
      <c r="E7" s="1"/>
      <c r="F7" s="15">
        <v>1</v>
      </c>
      <c r="G7" s="1"/>
      <c r="H7" t="s">
        <v>256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8.75" customHeight="1">
      <c r="A8" s="1" t="s">
        <v>74</v>
      </c>
      <c r="B8" s="1" t="s">
        <v>240</v>
      </c>
      <c r="C8" s="1"/>
      <c r="D8" s="1"/>
      <c r="E8" s="1"/>
      <c r="F8" s="15">
        <v>1</v>
      </c>
      <c r="G8" s="1"/>
      <c r="H8" t="s">
        <v>97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8.75" customHeight="1">
      <c r="A9" s="1" t="s">
        <v>53</v>
      </c>
      <c r="B9" s="1" t="s">
        <v>263</v>
      </c>
      <c r="C9" s="1"/>
      <c r="D9" s="1"/>
      <c r="E9" s="1"/>
      <c r="F9" s="15">
        <v>1</v>
      </c>
      <c r="G9" s="1"/>
      <c r="H9" t="s">
        <v>100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18.75" customHeight="1">
      <c r="A10" s="1" t="s">
        <v>103</v>
      </c>
      <c r="B10" s="1" t="s">
        <v>266</v>
      </c>
      <c r="C10" s="1"/>
      <c r="D10" s="1" t="s">
        <v>241</v>
      </c>
      <c r="E10" s="1"/>
      <c r="F10" s="15">
        <v>1</v>
      </c>
      <c r="G10" s="1"/>
      <c r="H10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18.75" customHeight="1">
      <c r="A11" s="1" t="s">
        <v>104</v>
      </c>
      <c r="B11" s="1" t="s">
        <v>242</v>
      </c>
      <c r="C11" s="1"/>
      <c r="D11" s="1"/>
      <c r="E11" s="1"/>
      <c r="F11" s="15">
        <v>1</v>
      </c>
      <c r="G11" s="1"/>
      <c r="H11" t="s">
        <v>91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8.75" customHeight="1">
      <c r="A12" s="1" t="s">
        <v>62</v>
      </c>
      <c r="B12" s="1" t="s">
        <v>243</v>
      </c>
      <c r="C12" s="1"/>
      <c r="D12" s="1"/>
      <c r="E12" s="1"/>
      <c r="F12" s="15">
        <v>1</v>
      </c>
      <c r="G12" s="1"/>
      <c r="H12" t="s">
        <v>103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18.75" customHeight="1">
      <c r="A13" s="1" t="s">
        <v>49</v>
      </c>
      <c r="B13" s="1" t="s">
        <v>265</v>
      </c>
      <c r="C13" s="1"/>
      <c r="D13" s="1"/>
      <c r="E13" s="1"/>
      <c r="F13" s="15">
        <v>1</v>
      </c>
      <c r="G13" s="1"/>
      <c r="H13" t="s">
        <v>53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18.75" customHeight="1">
      <c r="A14" s="1" t="s">
        <v>100</v>
      </c>
      <c r="B14" s="1" t="s">
        <v>244</v>
      </c>
      <c r="C14" s="1"/>
      <c r="D14" s="1"/>
      <c r="E14" s="1"/>
      <c r="F14" s="15">
        <v>1</v>
      </c>
      <c r="G14" s="1"/>
      <c r="H14" t="s">
        <v>89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18.75" customHeight="1">
      <c r="A15" s="1" t="s">
        <v>97</v>
      </c>
      <c r="B15" s="1" t="s">
        <v>245</v>
      </c>
      <c r="C15" s="1" t="s">
        <v>246</v>
      </c>
      <c r="D15" s="1"/>
      <c r="E15" s="1"/>
      <c r="F15" s="15">
        <v>1</v>
      </c>
      <c r="G15" s="1"/>
      <c r="H15" t="s">
        <v>56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18.75" customHeight="1">
      <c r="A16" s="1" t="s">
        <v>94</v>
      </c>
      <c r="B16" s="1" t="s">
        <v>247</v>
      </c>
      <c r="C16" s="1"/>
      <c r="D16" s="1"/>
      <c r="E16" s="1"/>
      <c r="F16" s="15">
        <v>1</v>
      </c>
      <c r="G16" s="1"/>
      <c r="H16" t="s">
        <v>74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8.75" customHeight="1">
      <c r="A17" s="1" t="s">
        <v>77</v>
      </c>
      <c r="B17" s="1" t="s">
        <v>248</v>
      </c>
      <c r="C17" s="1"/>
      <c r="D17" s="1"/>
      <c r="E17" s="1"/>
      <c r="F17" s="1"/>
      <c r="G17" s="1"/>
      <c r="H17" t="s">
        <v>59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8.75" customHeight="1">
      <c r="A18" s="1" t="s">
        <v>83</v>
      </c>
      <c r="B18" s="1" t="s">
        <v>249</v>
      </c>
      <c r="C18" s="1"/>
      <c r="D18" s="1"/>
      <c r="E18" s="1"/>
      <c r="F18" s="15">
        <v>1</v>
      </c>
      <c r="G18" s="1"/>
      <c r="H18" t="s">
        <v>154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8.75" customHeight="1">
      <c r="A19" s="1" t="s">
        <v>151</v>
      </c>
      <c r="B19" s="1" t="s">
        <v>264</v>
      </c>
      <c r="C19" s="1"/>
      <c r="D19" s="1"/>
      <c r="E19" s="1"/>
      <c r="F19" s="1"/>
      <c r="G19" s="1"/>
      <c r="H19" t="s">
        <v>257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8.75" customHeight="1">
      <c r="A20" s="1" t="s">
        <v>86</v>
      </c>
      <c r="B20" s="1" t="s">
        <v>250</v>
      </c>
      <c r="C20" s="1"/>
      <c r="D20" s="1"/>
      <c r="E20" s="1"/>
      <c r="F20" s="15">
        <v>1</v>
      </c>
      <c r="G20" s="1"/>
      <c r="H20" t="s">
        <v>104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8.75" customHeight="1">
      <c r="A21" s="1" t="s">
        <v>68</v>
      </c>
      <c r="B21" s="1" t="s">
        <v>251</v>
      </c>
      <c r="C21" s="1"/>
      <c r="D21" s="1"/>
      <c r="E21" s="1"/>
      <c r="F21" s="1"/>
      <c r="G21" s="1"/>
      <c r="H21" t="s">
        <v>65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8.75" customHeight="1">
      <c r="A22" s="1" t="s">
        <v>91</v>
      </c>
      <c r="B22" s="1" t="s">
        <v>252</v>
      </c>
      <c r="C22" s="1"/>
      <c r="D22" s="1"/>
      <c r="E22" s="1"/>
      <c r="F22" s="1">
        <v>1</v>
      </c>
      <c r="G22" s="23"/>
      <c r="H22" s="1"/>
      <c r="I22" s="1"/>
      <c r="J22" s="1"/>
      <c r="K22" s="2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8.75" customHeight="1">
      <c r="A24" s="1"/>
      <c r="B24" s="1"/>
      <c r="C24" s="1"/>
      <c r="D24" s="1"/>
      <c r="E24" s="1"/>
      <c r="F24" s="1"/>
      <c r="G24" s="23"/>
      <c r="H24" s="1"/>
      <c r="I24" s="1"/>
      <c r="J24" s="1"/>
      <c r="K24" s="2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8.75" customHeight="1">
      <c r="A25" s="1"/>
      <c r="B25" s="1"/>
      <c r="C25" s="1"/>
      <c r="D25" s="1"/>
      <c r="E25" s="1"/>
      <c r="F25" s="1"/>
      <c r="G25" s="2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8.75" customHeight="1">
      <c r="A27" s="1"/>
      <c r="B27" s="1"/>
      <c r="C27" s="1"/>
      <c r="D27" s="1"/>
      <c r="E27" s="1"/>
      <c r="F27" s="1"/>
      <c r="G27" s="2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8.75" customHeight="1">
      <c r="A28" s="1"/>
      <c r="B28" s="1"/>
      <c r="C28" s="1"/>
      <c r="D28" s="1"/>
      <c r="E28" s="1"/>
      <c r="F28" s="1"/>
      <c r="G28" s="2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8.75" customHeight="1">
      <c r="A30" s="1"/>
      <c r="B30" s="1"/>
      <c r="C30" s="1"/>
      <c r="D30" s="1"/>
      <c r="E30" s="1"/>
      <c r="F30" s="1"/>
      <c r="G30" s="2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8.75" customHeight="1">
      <c r="A35" s="1"/>
      <c r="B35" s="24"/>
      <c r="C35" s="1"/>
      <c r="D35" s="1"/>
      <c r="E35" s="25"/>
      <c r="F35" s="1"/>
      <c r="G35" s="1"/>
      <c r="H35" s="25"/>
      <c r="I35" s="25"/>
      <c r="J35" s="24"/>
      <c r="K35" s="24"/>
      <c r="L35" s="1"/>
      <c r="M35" s="25"/>
      <c r="N35" s="1"/>
      <c r="O35" s="26"/>
      <c r="P35" s="1"/>
      <c r="Q35" s="1"/>
      <c r="R35" s="1"/>
      <c r="S35" s="1"/>
      <c r="T35" s="1"/>
      <c r="U35" s="1"/>
      <c r="V35" s="1"/>
      <c r="W35" s="1"/>
      <c r="X35" s="1"/>
      <c r="Y35" s="24"/>
      <c r="Z35" s="24"/>
      <c r="AA35" s="24"/>
      <c r="AB35" s="24"/>
      <c r="AC35" s="24"/>
      <c r="AD35" s="26"/>
      <c r="AE35" s="1"/>
      <c r="AF35" s="24"/>
      <c r="AG35" s="1"/>
      <c r="AH35" s="1"/>
      <c r="AI35" s="1"/>
      <c r="AJ35" s="1"/>
      <c r="AK35" s="1"/>
      <c r="AL35" s="1"/>
      <c r="AM35" s="1"/>
      <c r="AN35" s="24"/>
      <c r="AO35" s="27"/>
      <c r="AP35" s="1"/>
      <c r="AQ35" s="1"/>
      <c r="AR35" s="1"/>
      <c r="AS35" s="1"/>
      <c r="AT35" s="1"/>
      <c r="AU35" s="1"/>
      <c r="AV35" s="1"/>
      <c r="AW35" s="1"/>
      <c r="AX35" s="24"/>
    </row>
    <row r="36" spans="1:50" ht="18.75" customHeight="1">
      <c r="A36" s="1"/>
      <c r="B36" s="24"/>
      <c r="C36" s="1"/>
      <c r="D36" s="1"/>
      <c r="E36" s="25"/>
      <c r="F36" s="1"/>
      <c r="G36" s="1"/>
      <c r="H36" s="25"/>
      <c r="I36" s="25"/>
      <c r="J36" s="24"/>
      <c r="K36" s="24"/>
      <c r="L36" s="1"/>
      <c r="M36" s="25"/>
      <c r="N36" s="1"/>
      <c r="O36" s="26"/>
      <c r="P36" s="1"/>
      <c r="Q36" s="1"/>
      <c r="R36" s="1"/>
      <c r="S36" s="1"/>
      <c r="T36" s="1"/>
      <c r="U36" s="1"/>
      <c r="V36" s="1"/>
      <c r="W36" s="1"/>
      <c r="X36" s="1"/>
      <c r="Y36" s="24"/>
      <c r="Z36" s="24"/>
      <c r="AA36" s="24"/>
      <c r="AB36" s="24"/>
      <c r="AC36" s="24"/>
      <c r="AD36" s="26"/>
      <c r="AE36" s="1"/>
      <c r="AF36" s="24"/>
      <c r="AG36" s="1"/>
      <c r="AH36" s="1"/>
      <c r="AI36" s="1"/>
      <c r="AJ36" s="1"/>
      <c r="AK36" s="1"/>
      <c r="AL36" s="1"/>
      <c r="AM36" s="1"/>
      <c r="AN36" s="24"/>
      <c r="AO36" s="27"/>
      <c r="AP36" s="1"/>
      <c r="AQ36" s="1"/>
      <c r="AR36" s="1"/>
      <c r="AS36" s="1"/>
      <c r="AT36" s="1"/>
      <c r="AU36" s="1"/>
      <c r="AV36" s="1"/>
      <c r="AW36" s="1"/>
      <c r="AX36" s="24"/>
    </row>
    <row r="37" spans="1:50" ht="18.75" customHeight="1">
      <c r="A37" s="1"/>
      <c r="B37" s="24"/>
      <c r="C37" s="1"/>
      <c r="D37" s="1"/>
      <c r="E37" s="25"/>
      <c r="F37" s="1"/>
      <c r="G37" s="1"/>
      <c r="H37" s="25"/>
      <c r="I37" s="25"/>
      <c r="J37" s="24"/>
      <c r="K37" s="24"/>
      <c r="L37" s="1"/>
      <c r="M37" s="25"/>
      <c r="N37" s="1"/>
      <c r="O37" s="26"/>
      <c r="P37" s="1"/>
      <c r="Q37" s="1"/>
      <c r="R37" s="1"/>
      <c r="S37" s="1"/>
      <c r="T37" s="1"/>
      <c r="U37" s="1"/>
      <c r="V37" s="1"/>
      <c r="W37" s="1"/>
      <c r="X37" s="1"/>
      <c r="Y37" s="24"/>
      <c r="Z37" s="24"/>
      <c r="AA37" s="24"/>
      <c r="AB37" s="24"/>
      <c r="AC37" s="24"/>
      <c r="AD37" s="26"/>
      <c r="AE37" s="1"/>
      <c r="AF37" s="24"/>
      <c r="AG37" s="1"/>
      <c r="AH37" s="1"/>
      <c r="AI37" s="1"/>
      <c r="AJ37" s="1"/>
      <c r="AK37" s="1"/>
      <c r="AL37" s="1"/>
      <c r="AM37" s="1"/>
      <c r="AN37" s="24"/>
      <c r="AO37" s="27"/>
      <c r="AP37" s="1"/>
      <c r="AQ37" s="1"/>
      <c r="AR37" s="1"/>
      <c r="AS37" s="1"/>
      <c r="AT37" s="1"/>
      <c r="AU37" s="1"/>
      <c r="AV37" s="1"/>
      <c r="AW37" s="1"/>
      <c r="AX3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I36"/>
  <sheetViews>
    <sheetView workbookViewId="0">
      <selection activeCell="J14" sqref="J14"/>
    </sheetView>
  </sheetViews>
  <sheetFormatPr defaultRowHeight="14.4"/>
  <cols>
    <col min="1" max="3" width="13.5546875" style="10" bestFit="1" customWidth="1"/>
    <col min="4" max="4" width="36.109375" style="10" bestFit="1" customWidth="1"/>
    <col min="5" max="5" width="33.88671875" style="10" bestFit="1" customWidth="1"/>
    <col min="6" max="6" width="15.109375" style="10" bestFit="1" customWidth="1"/>
    <col min="7" max="7" width="15.5546875" style="10" bestFit="1" customWidth="1"/>
    <col min="8" max="8" width="30.6640625" style="10" bestFit="1" customWidth="1"/>
    <col min="9" max="9" width="13.5546875" style="10" bestFit="1" customWidth="1"/>
  </cols>
  <sheetData>
    <row r="1" spans="1:9" ht="18.75" customHeight="1">
      <c r="A1" s="1" t="s">
        <v>5</v>
      </c>
      <c r="B1" s="1" t="s">
        <v>6</v>
      </c>
      <c r="C1" s="1" t="s">
        <v>7</v>
      </c>
      <c r="D1" s="1" t="s">
        <v>161</v>
      </c>
      <c r="E1" s="1" t="s">
        <v>162</v>
      </c>
      <c r="F1" s="1" t="s">
        <v>163</v>
      </c>
      <c r="G1" s="1"/>
      <c r="H1" s="1"/>
      <c r="I1" s="1"/>
    </row>
    <row r="2" spans="1:9" ht="18.75" customHeight="1">
      <c r="A2" s="1" t="s">
        <v>9</v>
      </c>
      <c r="B2" s="1" t="s">
        <v>10</v>
      </c>
      <c r="C2" s="1" t="s">
        <v>11</v>
      </c>
      <c r="D2" s="14" t="s">
        <v>164</v>
      </c>
      <c r="E2" s="14" t="s">
        <v>165</v>
      </c>
      <c r="F2" s="15" t="str">
        <f ca="1">G2</f>
        <v>ECORJPN Index</v>
      </c>
      <c r="G2" s="15" t="str">
        <f t="shared" ref="G2:G32" ca="1" si="0">"ECOR"&amp;A2&amp;"N Index"</f>
        <v>ECORJPN Index</v>
      </c>
      <c r="H2" s="15" t="str">
        <f ca="1">_xll.BDP(G2,"SECURITY_DES")</f>
        <v>Japan Money Supply M2 (Billion</v>
      </c>
      <c r="I2" s="1"/>
    </row>
    <row r="3" spans="1:9" ht="18.75" customHeight="1">
      <c r="A3" s="1" t="s">
        <v>13</v>
      </c>
      <c r="B3" s="1" t="s">
        <v>14</v>
      </c>
      <c r="C3" s="1" t="s">
        <v>11</v>
      </c>
      <c r="D3" s="16" t="s">
        <v>166</v>
      </c>
      <c r="E3" s="14" t="s">
        <v>167</v>
      </c>
      <c r="F3" s="1"/>
      <c r="G3" s="15" t="str">
        <f t="shared" ca="1" si="0"/>
        <v>ECORNON Index</v>
      </c>
      <c r="H3" s="15" t="str">
        <f ca="1">_xll.BDP(G3,"SECURITY_DES")</f>
        <v>Norway Money Supply M2 (Billio</v>
      </c>
      <c r="I3" s="1"/>
    </row>
    <row r="4" spans="1:9" ht="18.75" customHeight="1">
      <c r="A4" s="1" t="s">
        <v>16</v>
      </c>
      <c r="B4" s="1" t="s">
        <v>17</v>
      </c>
      <c r="C4" s="1" t="s">
        <v>11</v>
      </c>
      <c r="D4" s="14" t="s">
        <v>168</v>
      </c>
      <c r="E4" s="14" t="s">
        <v>169</v>
      </c>
      <c r="F4" s="15" t="str">
        <f ca="1">G4</f>
        <v>ECORSEN Index</v>
      </c>
      <c r="G4" s="15" t="str">
        <f t="shared" ca="1" si="0"/>
        <v>ECORSEN Index</v>
      </c>
      <c r="H4" s="15" t="str">
        <f ca="1">_xll.BDP(G4,"SECURITY_DES")</f>
        <v>Sweden Money Supply M2 (Billio</v>
      </c>
      <c r="I4" s="1"/>
    </row>
    <row r="5" spans="1:9" ht="18.75" customHeight="1">
      <c r="A5" s="1" t="s">
        <v>19</v>
      </c>
      <c r="B5" s="1" t="s">
        <v>20</v>
      </c>
      <c r="C5" s="1" t="s">
        <v>11</v>
      </c>
      <c r="D5" s="16" t="s">
        <v>170</v>
      </c>
      <c r="E5" s="14" t="s">
        <v>171</v>
      </c>
      <c r="F5" s="1"/>
      <c r="G5" s="15" t="str">
        <f t="shared" ca="1" si="0"/>
        <v>ECOREUN Index</v>
      </c>
      <c r="H5" s="15" t="str">
        <f ca="1">_xll.BDP(G5,"SECURITY_DES")</f>
        <v>European Union Money Supply M2</v>
      </c>
      <c r="I5" s="1"/>
    </row>
    <row r="6" spans="1:9" ht="18.75" customHeight="1">
      <c r="A6" s="1" t="s">
        <v>22</v>
      </c>
      <c r="B6" s="1" t="s">
        <v>23</v>
      </c>
      <c r="C6" s="1" t="s">
        <v>11</v>
      </c>
      <c r="D6" s="14" t="s">
        <v>172</v>
      </c>
      <c r="E6" s="14" t="s">
        <v>173</v>
      </c>
      <c r="F6" s="1"/>
      <c r="G6" s="15" t="str">
        <f t="shared" ca="1" si="0"/>
        <v>ECORDEN Index</v>
      </c>
      <c r="H6" s="15" t="str">
        <f ca="1">_xll.BDP(G6,"SECURITY_DES")</f>
        <v>Germany Money Supply M2 (Billi</v>
      </c>
      <c r="I6" s="1"/>
    </row>
    <row r="7" spans="1:9" ht="18.75" customHeight="1">
      <c r="A7" s="1" t="s">
        <v>25</v>
      </c>
      <c r="B7" s="1" t="s">
        <v>26</v>
      </c>
      <c r="C7" s="1" t="s">
        <v>11</v>
      </c>
      <c r="D7" s="16" t="s">
        <v>174</v>
      </c>
      <c r="E7" s="14" t="s">
        <v>175</v>
      </c>
      <c r="F7" s="1"/>
      <c r="G7" s="15" t="str">
        <f t="shared" ca="1" si="0"/>
        <v>ECORFRN Index</v>
      </c>
      <c r="H7" s="15" t="str">
        <f ca="1">_xll.BDP(G7,"SECURITY_DES")</f>
        <v>France Money Supply M2 (Billio</v>
      </c>
      <c r="I7" s="1"/>
    </row>
    <row r="8" spans="1:9" ht="18.75" customHeight="1">
      <c r="A8" s="1" t="s">
        <v>28</v>
      </c>
      <c r="B8" s="1" t="s">
        <v>29</v>
      </c>
      <c r="C8" s="1" t="s">
        <v>11</v>
      </c>
      <c r="D8" s="14" t="s">
        <v>176</v>
      </c>
      <c r="E8" s="14" t="s">
        <v>177</v>
      </c>
      <c r="F8" s="15" t="str">
        <f ca="1">G8</f>
        <v>ECORITN Index</v>
      </c>
      <c r="G8" s="15" t="str">
        <f t="shared" ca="1" si="0"/>
        <v>ECORITN Index</v>
      </c>
      <c r="H8" s="15" t="str">
        <f ca="1">_xll.BDP(G8,"SECURITY_DES")</f>
        <v>Italy Money Supply M2 (Billion</v>
      </c>
      <c r="I8" s="1"/>
    </row>
    <row r="9" spans="1:9" ht="18.75" customHeight="1">
      <c r="A9" s="1" t="s">
        <v>31</v>
      </c>
      <c r="B9" s="1" t="s">
        <v>32</v>
      </c>
      <c r="C9" s="1" t="s">
        <v>11</v>
      </c>
      <c r="D9" s="16" t="s">
        <v>178</v>
      </c>
      <c r="E9" s="14" t="s">
        <v>179</v>
      </c>
      <c r="F9" s="1"/>
      <c r="G9" s="15" t="str">
        <f t="shared" ca="1" si="0"/>
        <v>ECORGBN Index</v>
      </c>
      <c r="H9" s="15" t="str">
        <f ca="1">_xll.BDP(G9,"SECURITY_DES")</f>
        <v>#N/A Invalid Security</v>
      </c>
      <c r="I9" s="1"/>
    </row>
    <row r="10" spans="1:9" ht="18.75" customHeight="1">
      <c r="A10" s="1" t="s">
        <v>34</v>
      </c>
      <c r="B10" s="1" t="s">
        <v>35</v>
      </c>
      <c r="C10" s="1" t="s">
        <v>11</v>
      </c>
      <c r="D10" s="14" t="s">
        <v>180</v>
      </c>
      <c r="E10" s="14" t="s">
        <v>181</v>
      </c>
      <c r="F10" s="1"/>
      <c r="G10" s="15" t="str">
        <f t="shared" ca="1" si="0"/>
        <v>ECORSPN Index</v>
      </c>
      <c r="H10" s="15" t="str">
        <f ca="1">_xll.BDP(G10,"SECURITY_DES")</f>
        <v>#N/A Invalid Security</v>
      </c>
      <c r="I10" s="1"/>
    </row>
    <row r="11" spans="1:9" ht="18.75" customHeight="1">
      <c r="A11" s="1" t="s">
        <v>37</v>
      </c>
      <c r="B11" s="1" t="s">
        <v>37</v>
      </c>
      <c r="C11" s="1" t="s">
        <v>11</v>
      </c>
      <c r="D11" s="16" t="s">
        <v>182</v>
      </c>
      <c r="E11" s="14" t="s">
        <v>183</v>
      </c>
      <c r="F11" s="15" t="str">
        <f ca="1">G11</f>
        <v>ECORUSN Index</v>
      </c>
      <c r="G11" s="15" t="str">
        <f t="shared" ca="1" si="0"/>
        <v>ECORUSN Index</v>
      </c>
      <c r="H11" s="15" t="str">
        <f ca="1">_xll.BDP(G11,"SECURITY_DES")</f>
        <v>US Money Supply M2 (Billion US</v>
      </c>
      <c r="I11" s="1"/>
    </row>
    <row r="12" spans="1:9" ht="18.75" customHeight="1">
      <c r="A12" s="1" t="s">
        <v>3</v>
      </c>
      <c r="B12" s="1" t="s">
        <v>38</v>
      </c>
      <c r="C12" s="1" t="s">
        <v>11</v>
      </c>
      <c r="D12" s="14" t="s">
        <v>184</v>
      </c>
      <c r="E12" s="14" t="s">
        <v>185</v>
      </c>
      <c r="F12" s="15" t="str">
        <f ca="1">G12</f>
        <v>ECORCAN Index</v>
      </c>
      <c r="G12" s="15" t="str">
        <f t="shared" ca="1" si="0"/>
        <v>ECORCAN Index</v>
      </c>
      <c r="H12" s="15" t="str">
        <f ca="1">_xll.BDP(G12,"SECURITY_DES")</f>
        <v>Canada Money Supply M2 (Billio</v>
      </c>
      <c r="I12" s="1"/>
    </row>
    <row r="13" spans="1:9" ht="18.75" customHeight="1">
      <c r="A13" s="1" t="s">
        <v>40</v>
      </c>
      <c r="B13" s="1" t="s">
        <v>41</v>
      </c>
      <c r="C13" s="1" t="s">
        <v>11</v>
      </c>
      <c r="D13" s="16" t="s">
        <v>186</v>
      </c>
      <c r="E13" s="14" t="s">
        <v>187</v>
      </c>
      <c r="F13" s="1" t="s">
        <v>269</v>
      </c>
      <c r="G13" s="15" t="s">
        <v>269</v>
      </c>
      <c r="H13" s="15" t="str">
        <f ca="1">_xll.BDP(G13,"SECURITY_DES")</f>
        <v>Australian M3 M3 NSA</v>
      </c>
      <c r="I13" s="1"/>
    </row>
    <row r="14" spans="1:9" ht="18.75" customHeight="1">
      <c r="A14" s="1" t="s">
        <v>43</v>
      </c>
      <c r="B14" s="1" t="s">
        <v>44</v>
      </c>
      <c r="C14" s="1" t="s">
        <v>11</v>
      </c>
      <c r="D14" s="14" t="s">
        <v>188</v>
      </c>
      <c r="E14" s="14" t="s">
        <v>189</v>
      </c>
      <c r="F14" s="1"/>
      <c r="G14" s="15" t="str">
        <f t="shared" ca="1" si="0"/>
        <v>ECORNZN Index</v>
      </c>
      <c r="H14" s="15" t="str">
        <f ca="1">_xll.BDP(G14,"SECURITY_DES")</f>
        <v>New Zealand Money Supply M2 (B</v>
      </c>
      <c r="I14" s="1"/>
    </row>
    <row r="15" spans="1:9" ht="18.75" customHeight="1">
      <c r="A15" s="1" t="s">
        <v>45</v>
      </c>
      <c r="B15" s="1" t="s">
        <v>46</v>
      </c>
      <c r="C15" s="1" t="s">
        <v>11</v>
      </c>
      <c r="D15" s="17" t="s">
        <v>190</v>
      </c>
      <c r="E15" s="18" t="s">
        <v>191</v>
      </c>
      <c r="F15" s="1"/>
      <c r="G15" s="15" t="str">
        <f t="shared" ca="1" si="0"/>
        <v>ECORCHN Index</v>
      </c>
      <c r="H15" s="15" t="str">
        <f ca="1">_xll.BDP(G15,"SECURITY_DES")</f>
        <v>Switzerland Money Supply M2 (B</v>
      </c>
      <c r="I15" s="1"/>
    </row>
    <row r="16" spans="1:9" ht="18.75" customHeight="1">
      <c r="A16" s="3" t="s">
        <v>48</v>
      </c>
      <c r="B16" s="3" t="s">
        <v>49</v>
      </c>
      <c r="C16" s="3" t="s">
        <v>50</v>
      </c>
      <c r="D16" s="19" t="s">
        <v>192</v>
      </c>
      <c r="E16" s="20" t="s">
        <v>193</v>
      </c>
      <c r="F16" s="15" t="str">
        <f t="shared" ref="F16:F27" ca="1" si="1">G16</f>
        <v>ECORTRN Index</v>
      </c>
      <c r="G16" s="15" t="str">
        <f t="shared" ca="1" si="0"/>
        <v>ECORTRN Index</v>
      </c>
      <c r="H16" s="15" t="str">
        <f ca="1">_xll.BDP(G16,"SECURITY_DES")</f>
        <v>Turkey Money Supply M2 (Billio</v>
      </c>
      <c r="I16" s="1"/>
    </row>
    <row r="17" spans="1:9" ht="18.75" customHeight="1">
      <c r="A17" s="1" t="s">
        <v>52</v>
      </c>
      <c r="B17" s="1" t="s">
        <v>53</v>
      </c>
      <c r="C17" s="1" t="s">
        <v>50</v>
      </c>
      <c r="D17" s="14" t="s">
        <v>194</v>
      </c>
      <c r="E17" s="14" t="s">
        <v>195</v>
      </c>
      <c r="F17" s="15" t="str">
        <f t="shared" ca="1" si="1"/>
        <v>ECORTHN Index</v>
      </c>
      <c r="G17" s="15" t="str">
        <f t="shared" ca="1" si="0"/>
        <v>ECORTHN Index</v>
      </c>
      <c r="H17" s="15" t="str">
        <f ca="1">_xll.BDP(G17,"SECURITY_DES")</f>
        <v>Thailand Money Supply M2 (Bill</v>
      </c>
      <c r="I17" s="1"/>
    </row>
    <row r="18" spans="1:9" ht="18.75" customHeight="1">
      <c r="A18" s="1" t="s">
        <v>55</v>
      </c>
      <c r="B18" s="1" t="s">
        <v>56</v>
      </c>
      <c r="C18" s="1" t="s">
        <v>50</v>
      </c>
      <c r="D18" s="16" t="s">
        <v>196</v>
      </c>
      <c r="E18" s="14" t="s">
        <v>197</v>
      </c>
      <c r="F18" s="15" t="str">
        <f t="shared" ca="1" si="1"/>
        <v>ECORIDN Index</v>
      </c>
      <c r="G18" s="15" t="str">
        <f t="shared" ca="1" si="0"/>
        <v>ECORIDN Index</v>
      </c>
      <c r="H18" s="15" t="str">
        <f ca="1">_xll.BDP(G18,"SECURITY_DES")</f>
        <v>Indonesia Money Supply M2 (Bil</v>
      </c>
      <c r="I18" s="1"/>
    </row>
    <row r="19" spans="1:9" ht="18.75" customHeight="1">
      <c r="A19" s="1" t="s">
        <v>58</v>
      </c>
      <c r="B19" s="1" t="s">
        <v>59</v>
      </c>
      <c r="C19" s="1" t="s">
        <v>50</v>
      </c>
      <c r="D19" s="14" t="s">
        <v>198</v>
      </c>
      <c r="E19" s="14" t="s">
        <v>199</v>
      </c>
      <c r="F19" s="15" t="str">
        <f t="shared" ca="1" si="1"/>
        <v>ECORMYN Index</v>
      </c>
      <c r="G19" s="15" t="str">
        <f t="shared" ca="1" si="0"/>
        <v>ECORMYN Index</v>
      </c>
      <c r="H19" s="15" t="str">
        <f ca="1">_xll.BDP(G19,"SECURITY_DES")</f>
        <v>Malaysia Money Supply M2 (Bill</v>
      </c>
      <c r="I19" s="1"/>
    </row>
    <row r="20" spans="1:9" ht="18.75" customHeight="1">
      <c r="A20" s="1" t="s">
        <v>61</v>
      </c>
      <c r="B20" s="1" t="s">
        <v>62</v>
      </c>
      <c r="C20" s="1" t="s">
        <v>50</v>
      </c>
      <c r="D20" s="16" t="s">
        <v>200</v>
      </c>
      <c r="E20" s="14" t="s">
        <v>201</v>
      </c>
      <c r="F20" s="15" t="str">
        <f t="shared" ca="1" si="1"/>
        <v>ECORZAN Index</v>
      </c>
      <c r="G20" s="15" t="str">
        <f t="shared" ca="1" si="0"/>
        <v>ECORZAN Index</v>
      </c>
      <c r="H20" s="15" t="str">
        <f ca="1">_xll.BDP(G20,"SECURITY_DES")</f>
        <v>South Africa Money Supply M2 (</v>
      </c>
      <c r="I20" s="1"/>
    </row>
    <row r="21" spans="1:9" ht="18.75" customHeight="1">
      <c r="A21" s="1" t="s">
        <v>64</v>
      </c>
      <c r="B21" s="1" t="s">
        <v>65</v>
      </c>
      <c r="C21" s="1" t="s">
        <v>50</v>
      </c>
      <c r="D21" s="14" t="s">
        <v>202</v>
      </c>
      <c r="E21" s="14" t="s">
        <v>203</v>
      </c>
      <c r="F21" s="15" t="str">
        <f t="shared" ca="1" si="1"/>
        <v>ECORCNN Index</v>
      </c>
      <c r="G21" s="15" t="str">
        <f t="shared" ca="1" si="0"/>
        <v>ECORCNN Index</v>
      </c>
      <c r="H21" s="15" t="str">
        <f ca="1">_xll.BDP(G21,"SECURITY_DES")</f>
        <v>China Money Supply M2 (Billion</v>
      </c>
      <c r="I21" s="1"/>
    </row>
    <row r="22" spans="1:9" ht="18.75" customHeight="1">
      <c r="A22" s="1" t="s">
        <v>67</v>
      </c>
      <c r="B22" s="1" t="s">
        <v>68</v>
      </c>
      <c r="C22" s="1" t="s">
        <v>50</v>
      </c>
      <c r="D22" s="16" t="s">
        <v>204</v>
      </c>
      <c r="E22" s="14" t="s">
        <v>205</v>
      </c>
      <c r="F22" s="15" t="str">
        <f t="shared" ca="1" si="1"/>
        <v>ECORILN Index</v>
      </c>
      <c r="G22" s="15" t="str">
        <f t="shared" ca="1" si="0"/>
        <v>ECORILN Index</v>
      </c>
      <c r="H22" s="15" t="str">
        <f ca="1">_xll.BDP(G22,"SECURITY_DES")</f>
        <v>Israel Money Supply M2 (Billio</v>
      </c>
      <c r="I22" s="1"/>
    </row>
    <row r="23" spans="1:9" ht="18.75" customHeight="1">
      <c r="A23" s="1" t="s">
        <v>70</v>
      </c>
      <c r="B23" s="1" t="s">
        <v>71</v>
      </c>
      <c r="C23" s="1" t="s">
        <v>50</v>
      </c>
      <c r="D23" s="16" t="s">
        <v>206</v>
      </c>
      <c r="E23" s="14" t="s">
        <v>207</v>
      </c>
      <c r="F23" s="15" t="str">
        <f t="shared" ca="1" si="1"/>
        <v>ECORKRN Index</v>
      </c>
      <c r="G23" s="15" t="str">
        <f t="shared" ca="1" si="0"/>
        <v>ECORKRN Index</v>
      </c>
      <c r="H23" s="15" t="str">
        <f ca="1">_xll.BDP(G23,"SECURITY_DES")</f>
        <v>South Korea Money Supply M2 (B</v>
      </c>
      <c r="I23" s="1"/>
    </row>
    <row r="24" spans="1:9" ht="18.75" customHeight="1">
      <c r="A24" s="1" t="s">
        <v>73</v>
      </c>
      <c r="B24" s="1" t="s">
        <v>74</v>
      </c>
      <c r="C24" s="1" t="s">
        <v>50</v>
      </c>
      <c r="D24" s="14" t="s">
        <v>208</v>
      </c>
      <c r="E24" s="14" t="s">
        <v>209</v>
      </c>
      <c r="F24" s="15" t="str">
        <f t="shared" ca="1" si="1"/>
        <v>ECORPHN Index</v>
      </c>
      <c r="G24" s="15" t="str">
        <f t="shared" ca="1" si="0"/>
        <v>ECORPHN Index</v>
      </c>
      <c r="H24" s="15" t="str">
        <f ca="1">_xll.BDP(G24,"SECURITY_DES")</f>
        <v>Philippines Money Supply M2 (B</v>
      </c>
      <c r="I24" s="1"/>
    </row>
    <row r="25" spans="1:9" ht="18.75" customHeight="1">
      <c r="A25" s="1" t="s">
        <v>76</v>
      </c>
      <c r="B25" s="1" t="s">
        <v>77</v>
      </c>
      <c r="C25" s="1" t="s">
        <v>50</v>
      </c>
      <c r="D25" s="14" t="s">
        <v>210</v>
      </c>
      <c r="E25" s="14" t="s">
        <v>211</v>
      </c>
      <c r="F25" s="15" t="str">
        <f t="shared" ca="1" si="1"/>
        <v>ECORMXN Index</v>
      </c>
      <c r="G25" s="15" t="str">
        <f t="shared" ca="1" si="0"/>
        <v>ECORMXN Index</v>
      </c>
      <c r="H25" s="15" t="str">
        <f ca="1">_xll.BDP(G25,"SECURITY_DES")</f>
        <v>Mexico Money Supply M2 (Billio</v>
      </c>
      <c r="I25" s="1"/>
    </row>
    <row r="26" spans="1:9" ht="18.75" customHeight="1">
      <c r="A26" s="1" t="s">
        <v>79</v>
      </c>
      <c r="B26" s="1" t="s">
        <v>80</v>
      </c>
      <c r="C26" s="1" t="s">
        <v>50</v>
      </c>
      <c r="D26" s="16" t="s">
        <v>212</v>
      </c>
      <c r="E26" s="14" t="s">
        <v>213</v>
      </c>
      <c r="F26" s="15" t="str">
        <f t="shared" ca="1" si="1"/>
        <v>ECORBRN Index</v>
      </c>
      <c r="G26" s="15" t="str">
        <f t="shared" ca="1" si="0"/>
        <v>ECORBRN Index</v>
      </c>
      <c r="H26" s="15" t="str">
        <f ca="1">_xll.BDP(G26,"SECURITY_DES")</f>
        <v>Brazil Money Supply M2 (Billio</v>
      </c>
      <c r="I26" s="1"/>
    </row>
    <row r="27" spans="1:9" ht="18.75" customHeight="1">
      <c r="A27" s="1" t="s">
        <v>82</v>
      </c>
      <c r="B27" s="1" t="s">
        <v>83</v>
      </c>
      <c r="C27" s="1" t="s">
        <v>50</v>
      </c>
      <c r="D27" s="14" t="s">
        <v>214</v>
      </c>
      <c r="E27" s="14" t="s">
        <v>215</v>
      </c>
      <c r="F27" s="15" t="str">
        <f t="shared" ca="1" si="1"/>
        <v>ECORCLN Index</v>
      </c>
      <c r="G27" s="15" t="str">
        <f t="shared" ca="1" si="0"/>
        <v>ECORCLN Index</v>
      </c>
      <c r="H27" s="15" t="str">
        <f ca="1">_xll.BDP(G27,"SECURITY_DES")</f>
        <v>Chile Money Supply M2 (Billion</v>
      </c>
      <c r="I27" s="1"/>
    </row>
    <row r="28" spans="1:9" ht="18.75" customHeight="1">
      <c r="A28" s="1" t="s">
        <v>85</v>
      </c>
      <c r="B28" s="1" t="s">
        <v>86</v>
      </c>
      <c r="C28" s="1" t="s">
        <v>50</v>
      </c>
      <c r="D28" s="16" t="s">
        <v>216</v>
      </c>
      <c r="E28" s="14" t="s">
        <v>217</v>
      </c>
      <c r="F28" s="15" t="str">
        <f ca="1">G28</f>
        <v>ECORCON Index</v>
      </c>
      <c r="G28" s="15" t="str">
        <f t="shared" ca="1" si="0"/>
        <v>ECORCON Index</v>
      </c>
      <c r="H28" s="15" t="str">
        <f ca="1">_xll.BDP(G28,"SECURITY_DES")</f>
        <v>Colombia Money Supply M2 (Bill</v>
      </c>
      <c r="I28" s="1"/>
    </row>
    <row r="29" spans="1:9" ht="18.75" customHeight="1">
      <c r="A29" s="1" t="s">
        <v>88</v>
      </c>
      <c r="B29" s="1" t="s">
        <v>89</v>
      </c>
      <c r="C29" s="1" t="s">
        <v>50</v>
      </c>
      <c r="D29" s="14" t="s">
        <v>218</v>
      </c>
      <c r="E29" s="14" t="s">
        <v>219</v>
      </c>
      <c r="F29" s="15" t="str">
        <f ca="1">G29</f>
        <v>INMSM3 Index</v>
      </c>
      <c r="G29" s="15" t="s">
        <v>267</v>
      </c>
      <c r="H29" s="15" t="str">
        <f ca="1">_xll.BDP(G29,"SECURITY_DES")</f>
        <v>India Money Supply M3</v>
      </c>
      <c r="I29" s="1"/>
    </row>
    <row r="30" spans="1:9" ht="18.75" customHeight="1">
      <c r="A30" s="1" t="s">
        <v>90</v>
      </c>
      <c r="B30" s="1" t="s">
        <v>91</v>
      </c>
      <c r="C30" s="1" t="s">
        <v>50</v>
      </c>
      <c r="D30" s="16" t="s">
        <v>220</v>
      </c>
      <c r="E30" s="14" t="s">
        <v>221</v>
      </c>
      <c r="F30" s="15" t="str">
        <f ca="1">G30</f>
        <v>ECORRUN Index</v>
      </c>
      <c r="G30" s="15" t="str">
        <f t="shared" ca="1" si="0"/>
        <v>ECORRUN Index</v>
      </c>
      <c r="H30" s="15" t="str">
        <f ca="1">_xll.BDP(G30,"SECURITY_DES")</f>
        <v>Russia Money Supply M2 (Billio</v>
      </c>
      <c r="I30" s="1"/>
    </row>
    <row r="31" spans="1:9" ht="18.75" customHeight="1">
      <c r="A31" s="1" t="s">
        <v>93</v>
      </c>
      <c r="B31" s="1" t="s">
        <v>94</v>
      </c>
      <c r="C31" s="1" t="s">
        <v>50</v>
      </c>
      <c r="D31" s="16" t="s">
        <v>222</v>
      </c>
      <c r="E31" s="14" t="s">
        <v>223</v>
      </c>
      <c r="F31" s="1" t="s">
        <v>224</v>
      </c>
      <c r="G31" s="15" t="str">
        <f t="shared" ca="1" si="0"/>
        <v>ECORCZN Index</v>
      </c>
      <c r="H31" s="15" t="str">
        <f ca="1">_xll.BDP(G31,"SECURITY_DES")</f>
        <v>Czech Republic Money Supply M2</v>
      </c>
      <c r="I31" s="1" t="s">
        <v>225</v>
      </c>
    </row>
    <row r="32" spans="1:9" ht="18.75" customHeight="1">
      <c r="A32" s="1" t="s">
        <v>96</v>
      </c>
      <c r="B32" s="1" t="s">
        <v>97</v>
      </c>
      <c r="C32" s="1" t="s">
        <v>50</v>
      </c>
      <c r="D32" s="14" t="s">
        <v>226</v>
      </c>
      <c r="E32" s="14" t="s">
        <v>227</v>
      </c>
      <c r="F32" s="15" t="str">
        <f ca="1">G32</f>
        <v>ECORHUN Index</v>
      </c>
      <c r="G32" s="15" t="str">
        <f t="shared" ca="1" si="0"/>
        <v>ECORHUN Index</v>
      </c>
      <c r="H32" s="15" t="str">
        <f ca="1">_xll.BDP(G32,"SECURITY_DES")</f>
        <v>Hungary Money Supply M2 (Billi</v>
      </c>
      <c r="I32" s="1"/>
    </row>
    <row r="33" spans="1:9" ht="18.75" customHeight="1">
      <c r="A33" s="1" t="s">
        <v>99</v>
      </c>
      <c r="B33" s="1" t="s">
        <v>100</v>
      </c>
      <c r="C33" s="1" t="s">
        <v>50</v>
      </c>
      <c r="D33" s="16" t="s">
        <v>228</v>
      </c>
      <c r="E33" s="14" t="s">
        <v>229</v>
      </c>
      <c r="F33" s="15" t="str">
        <f ca="1">G33</f>
        <v>ECORPLN Index</v>
      </c>
      <c r="G33" s="15" t="s">
        <v>268</v>
      </c>
      <c r="H33" s="15" t="str">
        <f ca="1">_xll.BDP(G33,"SECURITY_DES")</f>
        <v>Poland Money Supply M2 (Billio</v>
      </c>
      <c r="I33" s="1"/>
    </row>
    <row r="34" spans="1:9" ht="18.75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8.75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8.75" customHeight="1">
      <c r="A36" s="1" t="s">
        <v>230</v>
      </c>
      <c r="B36" s="1"/>
      <c r="C36" s="1"/>
      <c r="D36" s="1"/>
      <c r="E36" s="1"/>
      <c r="F36" s="1"/>
      <c r="G36" s="1"/>
      <c r="H36" s="1"/>
      <c r="I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BL40"/>
  <sheetViews>
    <sheetView topLeftCell="AC1" zoomScale="70" zoomScaleNormal="70" workbookViewId="0">
      <selection activeCell="AU51" sqref="AU51"/>
    </sheetView>
  </sheetViews>
  <sheetFormatPr defaultRowHeight="14.4"/>
  <cols>
    <col min="1" max="3" width="13.5546875" style="10" bestFit="1" customWidth="1"/>
    <col min="4" max="4" width="27.6640625" style="10" bestFit="1" customWidth="1"/>
    <col min="5" max="15" width="18.44140625" style="11" bestFit="1" customWidth="1"/>
    <col min="16" max="16" width="18.44140625" style="11" customWidth="1"/>
    <col min="17" max="27" width="13.5546875" style="11" bestFit="1" customWidth="1"/>
    <col min="28" max="28" width="13.5546875" style="11" customWidth="1"/>
    <col min="29" max="39" width="13.5546875" style="11" bestFit="1" customWidth="1"/>
    <col min="40" max="40" width="13.5546875" style="11" customWidth="1"/>
    <col min="41" max="51" width="13.5546875" style="11" bestFit="1" customWidth="1"/>
    <col min="52" max="52" width="13.5546875" style="11" customWidth="1"/>
    <col min="53" max="63" width="13.5546875" style="11" bestFit="1" customWidth="1"/>
  </cols>
  <sheetData>
    <row r="1" spans="1:64" ht="18.75" customHeight="1">
      <c r="A1" s="1"/>
      <c r="B1" s="1"/>
      <c r="C1" s="1"/>
      <c r="D1" s="1"/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</row>
    <row r="2" spans="1:64" ht="18.75" customHeight="1">
      <c r="A2" s="1"/>
      <c r="B2" s="1"/>
      <c r="C2" s="1"/>
      <c r="D2" s="1"/>
      <c r="E2" s="2">
        <v>16</v>
      </c>
      <c r="F2" s="2">
        <v>17</v>
      </c>
      <c r="G2" s="2">
        <v>18</v>
      </c>
      <c r="H2" s="2">
        <v>19</v>
      </c>
      <c r="I2" s="2">
        <v>20</v>
      </c>
      <c r="J2" s="2">
        <v>21</v>
      </c>
      <c r="K2" s="2">
        <v>22</v>
      </c>
      <c r="L2" s="2">
        <v>23</v>
      </c>
      <c r="M2" s="2">
        <v>24</v>
      </c>
      <c r="N2" s="2">
        <v>25</v>
      </c>
      <c r="O2" s="2">
        <v>26</v>
      </c>
      <c r="P2" s="2">
        <v>27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16</v>
      </c>
      <c r="AD2" s="2">
        <v>17</v>
      </c>
      <c r="AE2" s="2">
        <v>18</v>
      </c>
      <c r="AF2" s="2">
        <v>19</v>
      </c>
      <c r="AG2" s="2">
        <v>20</v>
      </c>
      <c r="AH2" s="2">
        <v>21</v>
      </c>
      <c r="AI2" s="2">
        <v>22</v>
      </c>
      <c r="AJ2" s="2">
        <v>23</v>
      </c>
      <c r="AK2" s="2">
        <v>24</v>
      </c>
      <c r="AL2" s="2">
        <v>25</v>
      </c>
      <c r="AM2" s="2">
        <v>26</v>
      </c>
      <c r="AN2" s="2">
        <v>27</v>
      </c>
      <c r="AO2" s="2">
        <v>16</v>
      </c>
      <c r="AP2" s="2">
        <v>17</v>
      </c>
      <c r="AQ2" s="2">
        <v>18</v>
      </c>
      <c r="AR2" s="2">
        <v>19</v>
      </c>
      <c r="AS2" s="2">
        <v>20</v>
      </c>
      <c r="AT2" s="2">
        <v>21</v>
      </c>
      <c r="AU2" s="2">
        <v>22</v>
      </c>
      <c r="AV2" s="2">
        <v>23</v>
      </c>
      <c r="AW2" s="2">
        <v>24</v>
      </c>
      <c r="AX2" s="2">
        <v>25</v>
      </c>
      <c r="AY2" s="2">
        <v>26</v>
      </c>
      <c r="AZ2" s="2">
        <v>27</v>
      </c>
      <c r="BA2" s="2">
        <v>16</v>
      </c>
      <c r="BB2" s="2">
        <v>17</v>
      </c>
      <c r="BC2" s="2">
        <v>18</v>
      </c>
      <c r="BD2" s="2">
        <v>19</v>
      </c>
      <c r="BE2" s="2">
        <v>20</v>
      </c>
      <c r="BF2" s="2">
        <v>21</v>
      </c>
      <c r="BG2" s="2">
        <v>22</v>
      </c>
      <c r="BH2" s="2">
        <v>23</v>
      </c>
      <c r="BI2" s="2">
        <v>24</v>
      </c>
      <c r="BJ2" s="2">
        <v>25</v>
      </c>
      <c r="BK2" s="2">
        <v>26</v>
      </c>
      <c r="BL2" s="2">
        <v>27</v>
      </c>
    </row>
    <row r="3" spans="1:64" ht="18.75" customHeight="1">
      <c r="A3" s="1" t="s">
        <v>5</v>
      </c>
      <c r="B3" s="1" t="s">
        <v>6</v>
      </c>
      <c r="C3" s="1" t="s">
        <v>7</v>
      </c>
      <c r="D3" s="1" t="s">
        <v>8</v>
      </c>
      <c r="E3" s="2" t="str">
        <f t="shared" ref="E3:AP3" ca="1" si="0">E1&amp;E2</f>
        <v>GD16</v>
      </c>
      <c r="F3" s="2" t="str">
        <f t="shared" ca="1" si="0"/>
        <v>GD17</v>
      </c>
      <c r="G3" s="2" t="str">
        <f t="shared" ca="1" si="0"/>
        <v>GD18</v>
      </c>
      <c r="H3" s="2" t="str">
        <f t="shared" ca="1" si="0"/>
        <v>GD19</v>
      </c>
      <c r="I3" s="2" t="str">
        <f t="shared" ca="1" si="0"/>
        <v>GD20</v>
      </c>
      <c r="J3" s="2" t="str">
        <f t="shared" ca="1" si="0"/>
        <v>GD21</v>
      </c>
      <c r="K3" s="2" t="str">
        <f t="shared" ca="1" si="0"/>
        <v>GD22</v>
      </c>
      <c r="L3" s="2" t="str">
        <f t="shared" ca="1" si="0"/>
        <v>GD23</v>
      </c>
      <c r="M3" s="2" t="str">
        <f t="shared" ca="1" si="0"/>
        <v>GD24</v>
      </c>
      <c r="N3" s="2" t="str">
        <f t="shared" ca="1" si="0"/>
        <v>GD25</v>
      </c>
      <c r="O3" s="2" t="str">
        <f t="shared" ref="O3:P3" ca="1" si="1">O1&amp;O2</f>
        <v>GD26</v>
      </c>
      <c r="P3" s="2" t="str">
        <f t="shared" ca="1" si="1"/>
        <v>GD27</v>
      </c>
      <c r="Q3" s="2" t="str">
        <f t="shared" ca="1" si="0"/>
        <v>PI16</v>
      </c>
      <c r="R3" s="2" t="str">
        <f t="shared" ca="1" si="0"/>
        <v>PI17</v>
      </c>
      <c r="S3" s="2" t="str">
        <f t="shared" ca="1" si="0"/>
        <v>PI18</v>
      </c>
      <c r="T3" s="2" t="str">
        <f t="shared" ca="1" si="0"/>
        <v>PI19</v>
      </c>
      <c r="U3" s="2" t="str">
        <f t="shared" ca="1" si="0"/>
        <v>PI20</v>
      </c>
      <c r="V3" s="2" t="str">
        <f t="shared" ca="1" si="0"/>
        <v>PI21</v>
      </c>
      <c r="W3" s="2" t="str">
        <f t="shared" ca="1" si="0"/>
        <v>PI22</v>
      </c>
      <c r="X3" s="2" t="str">
        <f t="shared" ca="1" si="0"/>
        <v>PI23</v>
      </c>
      <c r="Y3" s="2" t="str">
        <f t="shared" ca="1" si="0"/>
        <v>PI24</v>
      </c>
      <c r="Z3" s="2" t="str">
        <f t="shared" ca="1" si="0"/>
        <v>PI25</v>
      </c>
      <c r="AA3" s="2" t="str">
        <f t="shared" ref="AA3:AB3" ca="1" si="2">AA1&amp;AA2</f>
        <v>PI26</v>
      </c>
      <c r="AB3" s="2" t="str">
        <f t="shared" ca="1" si="2"/>
        <v>PI27</v>
      </c>
      <c r="AC3" s="2" t="str">
        <f t="shared" ca="1" si="0"/>
        <v>UP16</v>
      </c>
      <c r="AD3" s="2" t="str">
        <f t="shared" ca="1" si="0"/>
        <v>UP17</v>
      </c>
      <c r="AE3" s="2" t="str">
        <f t="shared" ca="1" si="0"/>
        <v>UP18</v>
      </c>
      <c r="AF3" s="2" t="str">
        <f t="shared" ca="1" si="0"/>
        <v>UP19</v>
      </c>
      <c r="AG3" s="2" t="str">
        <f t="shared" ca="1" si="0"/>
        <v>UP20</v>
      </c>
      <c r="AH3" s="2" t="str">
        <f t="shared" ca="1" si="0"/>
        <v>UP21</v>
      </c>
      <c r="AI3" s="2" t="str">
        <f t="shared" ca="1" si="0"/>
        <v>UP22</v>
      </c>
      <c r="AJ3" s="2" t="str">
        <f t="shared" ca="1" si="0"/>
        <v>UP23</v>
      </c>
      <c r="AK3" s="2" t="str">
        <f t="shared" ca="1" si="0"/>
        <v>UP24</v>
      </c>
      <c r="AL3" s="2" t="str">
        <f t="shared" ca="1" si="0"/>
        <v>UP25</v>
      </c>
      <c r="AM3" s="2" t="str">
        <f t="shared" ref="AM3:AN3" ca="1" si="3">AM1&amp;AM2</f>
        <v>UP26</v>
      </c>
      <c r="AN3" s="2" t="str">
        <f t="shared" ca="1" si="3"/>
        <v>UP27</v>
      </c>
      <c r="AO3" s="2" t="str">
        <f t="shared" ca="1" si="0"/>
        <v>CA16</v>
      </c>
      <c r="AP3" s="2" t="str">
        <f t="shared" ca="1" si="0"/>
        <v>CA17</v>
      </c>
      <c r="AQ3" s="2" t="str">
        <f t="shared" ref="AQ3:BJ3" ca="1" si="4">AQ1&amp;AQ2</f>
        <v>CA18</v>
      </c>
      <c r="AR3" s="2" t="str">
        <f t="shared" ca="1" si="4"/>
        <v>CA19</v>
      </c>
      <c r="AS3" s="2" t="str">
        <f t="shared" ca="1" si="4"/>
        <v>CA20</v>
      </c>
      <c r="AT3" s="2" t="str">
        <f t="shared" ca="1" si="4"/>
        <v>CA21</v>
      </c>
      <c r="AU3" s="2" t="str">
        <f t="shared" ca="1" si="4"/>
        <v>CA22</v>
      </c>
      <c r="AV3" s="2" t="str">
        <f t="shared" ca="1" si="4"/>
        <v>CA23</v>
      </c>
      <c r="AW3" s="2" t="str">
        <f t="shared" ca="1" si="4"/>
        <v>CA24</v>
      </c>
      <c r="AX3" s="2" t="str">
        <f t="shared" ca="1" si="4"/>
        <v>CA25</v>
      </c>
      <c r="AY3" s="2" t="str">
        <f t="shared" ref="AY3:AZ3" ca="1" si="5">AY1&amp;AY2</f>
        <v>CA26</v>
      </c>
      <c r="AZ3" s="2" t="str">
        <f t="shared" ca="1" si="5"/>
        <v>CA27</v>
      </c>
      <c r="BA3" s="2" t="str">
        <f t="shared" ca="1" si="4"/>
        <v>BB16</v>
      </c>
      <c r="BB3" s="2" t="str">
        <f t="shared" ca="1" si="4"/>
        <v>BB17</v>
      </c>
      <c r="BC3" s="2" t="str">
        <f t="shared" ca="1" si="4"/>
        <v>BB18</v>
      </c>
      <c r="BD3" s="2" t="str">
        <f t="shared" ca="1" si="4"/>
        <v>BB19</v>
      </c>
      <c r="BE3" s="2" t="str">
        <f t="shared" ca="1" si="4"/>
        <v>BB20</v>
      </c>
      <c r="BF3" s="2" t="str">
        <f t="shared" ca="1" si="4"/>
        <v>BB21</v>
      </c>
      <c r="BG3" s="2" t="str">
        <f t="shared" ca="1" si="4"/>
        <v>BB22</v>
      </c>
      <c r="BH3" s="2" t="str">
        <f t="shared" ca="1" si="4"/>
        <v>BB23</v>
      </c>
      <c r="BI3" s="2" t="str">
        <f t="shared" ca="1" si="4"/>
        <v>BB24</v>
      </c>
      <c r="BJ3" s="2" t="str">
        <f t="shared" ca="1" si="4"/>
        <v>BB25</v>
      </c>
      <c r="BK3" s="2" t="str">
        <f t="shared" ref="BK3:BL3" ca="1" si="6">BK1&amp;BK2</f>
        <v>BB26</v>
      </c>
      <c r="BL3" s="2" t="str">
        <f t="shared" ca="1" si="6"/>
        <v>BB27</v>
      </c>
    </row>
    <row r="4" spans="1:64" ht="18.75" customHeight="1" thickBot="1">
      <c r="A4" s="3" t="s">
        <v>9</v>
      </c>
      <c r="B4" s="3" t="s">
        <v>10</v>
      </c>
      <c r="C4" s="3" t="s">
        <v>11</v>
      </c>
      <c r="D4" s="3" t="s">
        <v>12</v>
      </c>
      <c r="E4" s="4" t="str">
        <f ca="1">"EC"&amp;E$1&amp;$A4&amp;" "&amp;E$2&amp;" Index"</f>
        <v>ECGDJP 16 Index</v>
      </c>
      <c r="F4" s="4" t="str">
        <f t="shared" ref="F4:W19" ca="1" si="7">"EC"&amp;F$1&amp;$A4&amp;" "&amp;F$2&amp;" Index"</f>
        <v>ECGDJP 17 Index</v>
      </c>
      <c r="G4" s="4" t="str">
        <f t="shared" ca="1" si="7"/>
        <v>ECGDJP 18 Index</v>
      </c>
      <c r="H4" s="4" t="str">
        <f t="shared" ca="1" si="7"/>
        <v>ECGDJP 19 Index</v>
      </c>
      <c r="I4" s="4" t="str">
        <f t="shared" ca="1" si="7"/>
        <v>ECGDJP 20 Index</v>
      </c>
      <c r="J4" s="4" t="str">
        <f t="shared" ca="1" si="7"/>
        <v>ECGDJP 21 Index</v>
      </c>
      <c r="K4" s="4" t="str">
        <f t="shared" ca="1" si="7"/>
        <v>ECGDJP 22 Index</v>
      </c>
      <c r="L4" s="4" t="str">
        <f t="shared" ca="1" si="7"/>
        <v>ECGDJP 23 Index</v>
      </c>
      <c r="M4" s="4" t="str">
        <f t="shared" ca="1" si="7"/>
        <v>ECGDJP 24 Index</v>
      </c>
      <c r="N4" s="4" t="str">
        <f t="shared" ca="1" si="7"/>
        <v>ECGDJP 25 Index</v>
      </c>
      <c r="O4" s="4" t="str">
        <f ca="1">"EC"&amp;O$1&amp;$A4&amp;" "&amp;O$2&amp;" Index"</f>
        <v>ECGDJP 26 Index</v>
      </c>
      <c r="P4" s="4" t="str">
        <f ca="1">"EC"&amp;P$1&amp;$A4&amp;" "&amp;P$2&amp;" Index"</f>
        <v>ECGDJP 27 Index</v>
      </c>
      <c r="Q4" s="4" t="str">
        <f t="shared" ca="1" si="7"/>
        <v>ECPIJP 16 Index</v>
      </c>
      <c r="R4" s="4" t="str">
        <f t="shared" ca="1" si="7"/>
        <v>ECPIJP 17 Index</v>
      </c>
      <c r="S4" s="4" t="str">
        <f t="shared" ca="1" si="7"/>
        <v>ECPIJP 18 Index</v>
      </c>
      <c r="T4" s="4" t="str">
        <f t="shared" ca="1" si="7"/>
        <v>ECPIJP 19 Index</v>
      </c>
      <c r="U4" s="4" t="str">
        <f t="shared" ca="1" si="7"/>
        <v>ECPIJP 20 Index</v>
      </c>
      <c r="V4" s="4" t="str">
        <f t="shared" ca="1" si="7"/>
        <v>ECPIJP 21 Index</v>
      </c>
      <c r="W4" s="4" t="str">
        <f t="shared" ca="1" si="7"/>
        <v>ECPIJP 22 Index</v>
      </c>
      <c r="X4" s="4" t="str">
        <f t="shared" ref="X4:AQ19" ca="1" si="8">"EC"&amp;X$1&amp;$A4&amp;" "&amp;X$2&amp;" Index"</f>
        <v>ECPIJP 23 Index</v>
      </c>
      <c r="Y4" s="4" t="str">
        <f t="shared" ca="1" si="8"/>
        <v>ECPIJP 24 Index</v>
      </c>
      <c r="Z4" s="4" t="str">
        <f t="shared" ca="1" si="8"/>
        <v>ECPIJP 25 Index</v>
      </c>
      <c r="AA4" s="4" t="str">
        <f t="shared" ref="AA4:AB19" ca="1" si="9">"EC"&amp;AA$1&amp;$A4&amp;" "&amp;AA$2&amp;" Index"</f>
        <v>ECPIJP 26 Index</v>
      </c>
      <c r="AB4" s="4" t="str">
        <f t="shared" ca="1" si="9"/>
        <v>ECPIJP 27 Index</v>
      </c>
      <c r="AC4" s="4" t="str">
        <f t="shared" ca="1" si="8"/>
        <v>ECUPJP 16 Index</v>
      </c>
      <c r="AD4" s="4" t="str">
        <f t="shared" ca="1" si="8"/>
        <v>ECUPJP 17 Index</v>
      </c>
      <c r="AE4" s="4" t="str">
        <f t="shared" ca="1" si="8"/>
        <v>ECUPJP 18 Index</v>
      </c>
      <c r="AF4" s="4" t="str">
        <f t="shared" ca="1" si="8"/>
        <v>ECUPJP 19 Index</v>
      </c>
      <c r="AG4" s="4" t="str">
        <f t="shared" ca="1" si="8"/>
        <v>ECUPJP 20 Index</v>
      </c>
      <c r="AH4" s="4" t="str">
        <f t="shared" ca="1" si="8"/>
        <v>ECUPJP 21 Index</v>
      </c>
      <c r="AI4" s="4" t="str">
        <f t="shared" ca="1" si="8"/>
        <v>ECUPJP 22 Index</v>
      </c>
      <c r="AJ4" s="4" t="str">
        <f t="shared" ca="1" si="8"/>
        <v>ECUPJP 23 Index</v>
      </c>
      <c r="AK4" s="4" t="str">
        <f t="shared" ca="1" si="8"/>
        <v>ECUPJP 24 Index</v>
      </c>
      <c r="AL4" s="4" t="str">
        <f t="shared" ca="1" si="8"/>
        <v>ECUPJP 25 Index</v>
      </c>
      <c r="AM4" s="4" t="str">
        <f t="shared" ref="AM4:AN34" ca="1" si="10">"EC"&amp;AM$1&amp;$A4&amp;" "&amp;AM$2&amp;" Index"</f>
        <v>ECUPJP 26 Index</v>
      </c>
      <c r="AN4" s="4" t="str">
        <f t="shared" ca="1" si="10"/>
        <v>ECUPJP 27 Index</v>
      </c>
      <c r="AO4" s="4" t="str">
        <f t="shared" ca="1" si="8"/>
        <v>ECCAJP 16 Index</v>
      </c>
      <c r="AP4" s="4" t="str">
        <f t="shared" ca="1" si="8"/>
        <v>ECCAJP 17 Index</v>
      </c>
      <c r="AQ4" s="4" t="str">
        <f t="shared" ca="1" si="8"/>
        <v>ECCAJP 18 Index</v>
      </c>
      <c r="AR4" s="4" t="str">
        <f t="shared" ref="AR4:BI19" ca="1" si="11">"EC"&amp;AR$1&amp;$A4&amp;" "&amp;AR$2&amp;" Index"</f>
        <v>ECCAJP 19 Index</v>
      </c>
      <c r="AS4" s="4" t="str">
        <f t="shared" ca="1" si="11"/>
        <v>ECCAJP 20 Index</v>
      </c>
      <c r="AT4" s="4" t="str">
        <f t="shared" ca="1" si="11"/>
        <v>ECCAJP 21 Index</v>
      </c>
      <c r="AU4" s="4" t="str">
        <f t="shared" ca="1" si="11"/>
        <v>ECCAJP 22 Index</v>
      </c>
      <c r="AV4" s="4" t="str">
        <f t="shared" ca="1" si="11"/>
        <v>ECCAJP 23 Index</v>
      </c>
      <c r="AW4" s="4" t="str">
        <f t="shared" ca="1" si="11"/>
        <v>ECCAJP 24 Index</v>
      </c>
      <c r="AX4" s="4" t="str">
        <f t="shared" ca="1" si="11"/>
        <v>ECCAJP 25 Index</v>
      </c>
      <c r="AY4" s="4" t="str">
        <f t="shared" ref="AY4:AZ19" ca="1" si="12">"EC"&amp;AY$1&amp;$A4&amp;" "&amp;AY$2&amp;" Index"</f>
        <v>ECCAJP 26 Index</v>
      </c>
      <c r="AZ4" s="4" t="str">
        <f t="shared" ca="1" si="12"/>
        <v>ECCAJP 27 Index</v>
      </c>
      <c r="BA4" s="4" t="str">
        <f t="shared" ca="1" si="11"/>
        <v>ECBBJP 16 Index</v>
      </c>
      <c r="BB4" s="4" t="str">
        <f t="shared" ca="1" si="11"/>
        <v>ECBBJP 17 Index</v>
      </c>
      <c r="BC4" s="4" t="str">
        <f t="shared" ca="1" si="11"/>
        <v>ECBBJP 18 Index</v>
      </c>
      <c r="BD4" s="4" t="str">
        <f t="shared" ca="1" si="11"/>
        <v>ECBBJP 19 Index</v>
      </c>
      <c r="BE4" s="4" t="str">
        <f t="shared" ca="1" si="11"/>
        <v>ECBBJP 20 Index</v>
      </c>
      <c r="BF4" s="4" t="str">
        <f t="shared" ca="1" si="11"/>
        <v>ECBBJP 21 Index</v>
      </c>
      <c r="BG4" s="4" t="str">
        <f t="shared" ca="1" si="11"/>
        <v>ECBBJP 22 Index</v>
      </c>
      <c r="BH4" s="4" t="str">
        <f t="shared" ca="1" si="11"/>
        <v>ECBBJP 23 Index</v>
      </c>
      <c r="BI4" s="4" t="str">
        <f t="shared" ca="1" si="11"/>
        <v>ECBBJP 24 Index</v>
      </c>
      <c r="BJ4" s="4" t="str">
        <f t="shared" ref="BJ4:BL39" ca="1" si="13">"EC"&amp;BJ$1&amp;$A4&amp;" "&amp;BJ$2&amp;" Index"</f>
        <v>ECBBJP 25 Index</v>
      </c>
      <c r="BK4" s="4" t="str">
        <f t="shared" ca="1" si="13"/>
        <v>ECBBJP 26 Index</v>
      </c>
      <c r="BL4" s="4" t="str">
        <f t="shared" ca="1" si="13"/>
        <v>ECBBJP 27 Index</v>
      </c>
    </row>
    <row r="5" spans="1:64" ht="18.75" customHeight="1" thickBot="1">
      <c r="A5" s="1" t="s">
        <v>13</v>
      </c>
      <c r="B5" s="1" t="s">
        <v>14</v>
      </c>
      <c r="C5" s="1" t="s">
        <v>11</v>
      </c>
      <c r="D5" s="5" t="s">
        <v>15</v>
      </c>
      <c r="E5" s="6" t="str">
        <f t="shared" ref="E5:V20" ca="1" si="14">"EC"&amp;E$1&amp;$A5&amp;" "&amp;E$2&amp;" Index"</f>
        <v>ECGDNO 16 Index</v>
      </c>
      <c r="F5" s="6" t="str">
        <f t="shared" ca="1" si="7"/>
        <v>ECGDNO 17 Index</v>
      </c>
      <c r="G5" s="6" t="str">
        <f t="shared" ca="1" si="7"/>
        <v>ECGDNO 18 Index</v>
      </c>
      <c r="H5" s="6" t="str">
        <f t="shared" ca="1" si="7"/>
        <v>ECGDNO 19 Index</v>
      </c>
      <c r="I5" s="6" t="str">
        <f t="shared" ca="1" si="7"/>
        <v>ECGDNO 20 Index</v>
      </c>
      <c r="J5" s="6" t="str">
        <f t="shared" ca="1" si="7"/>
        <v>ECGDNO 21 Index</v>
      </c>
      <c r="K5" s="6" t="str">
        <f t="shared" ca="1" si="7"/>
        <v>ECGDNO 22 Index</v>
      </c>
      <c r="L5" s="6" t="str">
        <f t="shared" ca="1" si="7"/>
        <v>ECGDNO 23 Index</v>
      </c>
      <c r="M5" s="6" t="str">
        <f t="shared" ca="1" si="7"/>
        <v>ECGDNO 24 Index</v>
      </c>
      <c r="N5" s="6" t="str">
        <f t="shared" ca="1" si="7"/>
        <v>ECGDNO 25 Index</v>
      </c>
      <c r="O5" s="6" t="str">
        <f t="shared" ref="O5:P19" ca="1" si="15">"EC"&amp;O$1&amp;$A5&amp;" "&amp;O$2&amp;" Index"</f>
        <v>ECGDNO 26 Index</v>
      </c>
      <c r="P5" s="6" t="str">
        <f t="shared" ca="1" si="15"/>
        <v>ECGDNO 27 Index</v>
      </c>
      <c r="Q5" s="6" t="str">
        <f t="shared" ca="1" si="7"/>
        <v>ECPINO 16 Index</v>
      </c>
      <c r="R5" s="6" t="str">
        <f t="shared" ca="1" si="7"/>
        <v>ECPINO 17 Index</v>
      </c>
      <c r="S5" s="6" t="str">
        <f t="shared" ca="1" si="7"/>
        <v>ECPINO 18 Index</v>
      </c>
      <c r="T5" s="6" t="str">
        <f t="shared" ca="1" si="7"/>
        <v>ECPINO 19 Index</v>
      </c>
      <c r="U5" s="6" t="str">
        <f t="shared" ca="1" si="7"/>
        <v>ECPINO 20 Index</v>
      </c>
      <c r="V5" s="6" t="str">
        <f t="shared" ca="1" si="7"/>
        <v>ECPINO 21 Index</v>
      </c>
      <c r="W5" s="6" t="str">
        <f t="shared" ca="1" si="7"/>
        <v>ECPINO 22 Index</v>
      </c>
      <c r="X5" s="6" t="str">
        <f t="shared" ca="1" si="8"/>
        <v>ECPINO 23 Index</v>
      </c>
      <c r="Y5" s="6" t="str">
        <f t="shared" ca="1" si="8"/>
        <v>ECPINO 24 Index</v>
      </c>
      <c r="Z5" s="6" t="str">
        <f t="shared" ca="1" si="8"/>
        <v>ECPINO 25 Index</v>
      </c>
      <c r="AA5" s="6" t="str">
        <f t="shared" ca="1" si="9"/>
        <v>ECPINO 26 Index</v>
      </c>
      <c r="AB5" s="6" t="str">
        <f t="shared" ca="1" si="9"/>
        <v>ECPINO 27 Index</v>
      </c>
      <c r="AC5" s="6" t="str">
        <f t="shared" ca="1" si="8"/>
        <v>ECUPNO 16 Index</v>
      </c>
      <c r="AD5" s="6" t="str">
        <f t="shared" ca="1" si="8"/>
        <v>ECUPNO 17 Index</v>
      </c>
      <c r="AE5" s="6" t="str">
        <f t="shared" ca="1" si="8"/>
        <v>ECUPNO 18 Index</v>
      </c>
      <c r="AF5" s="6" t="str">
        <f t="shared" ca="1" si="8"/>
        <v>ECUPNO 19 Index</v>
      </c>
      <c r="AG5" s="6" t="str">
        <f t="shared" ca="1" si="8"/>
        <v>ECUPNO 20 Index</v>
      </c>
      <c r="AH5" s="6" t="str">
        <f t="shared" ca="1" si="8"/>
        <v>ECUPNO 21 Index</v>
      </c>
      <c r="AI5" s="6" t="str">
        <f t="shared" ca="1" si="8"/>
        <v>ECUPNO 22 Index</v>
      </c>
      <c r="AJ5" s="6" t="str">
        <f t="shared" ca="1" si="8"/>
        <v>ECUPNO 23 Index</v>
      </c>
      <c r="AK5" s="6" t="str">
        <f t="shared" ca="1" si="8"/>
        <v>ECUPNO 24 Index</v>
      </c>
      <c r="AL5" s="6" t="str">
        <f t="shared" ca="1" si="8"/>
        <v>ECUPNO 25 Index</v>
      </c>
      <c r="AM5" s="6" t="str">
        <f t="shared" ca="1" si="10"/>
        <v>ECUPNO 26 Index</v>
      </c>
      <c r="AN5" s="6" t="str">
        <f t="shared" ca="1" si="10"/>
        <v>ECUPNO 27 Index</v>
      </c>
      <c r="AO5" s="6" t="str">
        <f t="shared" ca="1" si="8"/>
        <v>ECCANO 16 Index</v>
      </c>
      <c r="AP5" s="6" t="str">
        <f t="shared" ca="1" si="8"/>
        <v>ECCANO 17 Index</v>
      </c>
      <c r="AQ5" s="6" t="str">
        <f t="shared" ca="1" si="8"/>
        <v>ECCANO 18 Index</v>
      </c>
      <c r="AR5" s="6" t="str">
        <f t="shared" ca="1" si="11"/>
        <v>ECCANO 19 Index</v>
      </c>
      <c r="AS5" s="6" t="str">
        <f t="shared" ca="1" si="11"/>
        <v>ECCANO 20 Index</v>
      </c>
      <c r="AT5" s="6" t="str">
        <f t="shared" ca="1" si="11"/>
        <v>ECCANO 21 Index</v>
      </c>
      <c r="AU5" s="6" t="str">
        <f t="shared" ca="1" si="11"/>
        <v>ECCANO 22 Index</v>
      </c>
      <c r="AV5" s="6" t="str">
        <f t="shared" ca="1" si="11"/>
        <v>ECCANO 23 Index</v>
      </c>
      <c r="AW5" s="6" t="str">
        <f t="shared" ca="1" si="11"/>
        <v>ECCANO 24 Index</v>
      </c>
      <c r="AX5" s="6" t="str">
        <f t="shared" ca="1" si="11"/>
        <v>ECCANO 25 Index</v>
      </c>
      <c r="AY5" s="6" t="str">
        <f t="shared" ca="1" si="12"/>
        <v>ECCANO 26 Index</v>
      </c>
      <c r="AZ5" s="6" t="str">
        <f t="shared" ca="1" si="12"/>
        <v>ECCANO 27 Index</v>
      </c>
      <c r="BA5" s="6" t="str">
        <f t="shared" ca="1" si="11"/>
        <v>ECBBNO 16 Index</v>
      </c>
      <c r="BB5" s="6" t="str">
        <f t="shared" ca="1" si="11"/>
        <v>ECBBNO 17 Index</v>
      </c>
      <c r="BC5" s="6" t="str">
        <f t="shared" ca="1" si="11"/>
        <v>ECBBNO 18 Index</v>
      </c>
      <c r="BD5" s="6" t="str">
        <f t="shared" ca="1" si="11"/>
        <v>ECBBNO 19 Index</v>
      </c>
      <c r="BE5" s="6" t="str">
        <f t="shared" ca="1" si="11"/>
        <v>ECBBNO 20 Index</v>
      </c>
      <c r="BF5" s="6" t="str">
        <f t="shared" ca="1" si="11"/>
        <v>ECBBNO 21 Index</v>
      </c>
      <c r="BG5" s="6" t="str">
        <f t="shared" ca="1" si="11"/>
        <v>ECBBNO 22 Index</v>
      </c>
      <c r="BH5" s="6" t="str">
        <f t="shared" ca="1" si="11"/>
        <v>ECBBNO 23 Index</v>
      </c>
      <c r="BI5" s="6" t="str">
        <f t="shared" ca="1" si="11"/>
        <v>ECBBNO 24 Index</v>
      </c>
      <c r="BJ5" s="6" t="str">
        <f t="shared" ca="1" si="13"/>
        <v>ECBBNO 25 Index</v>
      </c>
      <c r="BK5" s="6" t="str">
        <f t="shared" ca="1" si="13"/>
        <v>ECBBNO 26 Index</v>
      </c>
      <c r="BL5" s="6" t="str">
        <f t="shared" ca="1" si="13"/>
        <v>ECBBNO 27 Index</v>
      </c>
    </row>
    <row r="6" spans="1:64" ht="18.75" customHeight="1" thickBot="1">
      <c r="A6" s="1" t="s">
        <v>16</v>
      </c>
      <c r="B6" s="1" t="s">
        <v>17</v>
      </c>
      <c r="C6" s="1" t="s">
        <v>11</v>
      </c>
      <c r="D6" s="1" t="s">
        <v>18</v>
      </c>
      <c r="E6" s="6" t="str">
        <f t="shared" ca="1" si="14"/>
        <v>ECGDSE 16 Index</v>
      </c>
      <c r="F6" s="6" t="str">
        <f t="shared" ca="1" si="7"/>
        <v>ECGDSE 17 Index</v>
      </c>
      <c r="G6" s="6" t="str">
        <f t="shared" ca="1" si="7"/>
        <v>ECGDSE 18 Index</v>
      </c>
      <c r="H6" s="6" t="str">
        <f t="shared" ca="1" si="7"/>
        <v>ECGDSE 19 Index</v>
      </c>
      <c r="I6" s="6" t="str">
        <f t="shared" ca="1" si="7"/>
        <v>ECGDSE 20 Index</v>
      </c>
      <c r="J6" s="6" t="str">
        <f t="shared" ca="1" si="7"/>
        <v>ECGDSE 21 Index</v>
      </c>
      <c r="K6" s="6" t="str">
        <f t="shared" ca="1" si="7"/>
        <v>ECGDSE 22 Index</v>
      </c>
      <c r="L6" s="6" t="str">
        <f t="shared" ca="1" si="7"/>
        <v>ECGDSE 23 Index</v>
      </c>
      <c r="M6" s="6" t="str">
        <f t="shared" ca="1" si="7"/>
        <v>ECGDSE 24 Index</v>
      </c>
      <c r="N6" s="6" t="str">
        <f t="shared" ca="1" si="7"/>
        <v>ECGDSE 25 Index</v>
      </c>
      <c r="O6" s="6" t="str">
        <f t="shared" ca="1" si="15"/>
        <v>ECGDSE 26 Index</v>
      </c>
      <c r="P6" s="6" t="str">
        <f t="shared" ca="1" si="15"/>
        <v>ECGDSE 27 Index</v>
      </c>
      <c r="Q6" s="6" t="str">
        <f t="shared" ca="1" si="7"/>
        <v>ECPISE 16 Index</v>
      </c>
      <c r="R6" s="6" t="str">
        <f t="shared" ca="1" si="7"/>
        <v>ECPISE 17 Index</v>
      </c>
      <c r="S6" s="6" t="str">
        <f t="shared" ca="1" si="7"/>
        <v>ECPISE 18 Index</v>
      </c>
      <c r="T6" s="6" t="str">
        <f t="shared" ca="1" si="7"/>
        <v>ECPISE 19 Index</v>
      </c>
      <c r="U6" s="6" t="str">
        <f t="shared" ca="1" si="7"/>
        <v>ECPISE 20 Index</v>
      </c>
      <c r="V6" s="6" t="str">
        <f t="shared" ca="1" si="7"/>
        <v>ECPISE 21 Index</v>
      </c>
      <c r="W6" s="6" t="str">
        <f t="shared" ca="1" si="7"/>
        <v>ECPISE 22 Index</v>
      </c>
      <c r="X6" s="6" t="str">
        <f t="shared" ca="1" si="8"/>
        <v>ECPISE 23 Index</v>
      </c>
      <c r="Y6" s="6" t="str">
        <f t="shared" ca="1" si="8"/>
        <v>ECPISE 24 Index</v>
      </c>
      <c r="Z6" s="6" t="str">
        <f t="shared" ca="1" si="8"/>
        <v>ECPISE 25 Index</v>
      </c>
      <c r="AA6" s="6" t="str">
        <f t="shared" ca="1" si="9"/>
        <v>ECPISE 26 Index</v>
      </c>
      <c r="AB6" s="6" t="str">
        <f t="shared" ca="1" si="9"/>
        <v>ECPISE 27 Index</v>
      </c>
      <c r="AC6" s="6" t="str">
        <f t="shared" ca="1" si="8"/>
        <v>ECUPSE 16 Index</v>
      </c>
      <c r="AD6" s="6" t="str">
        <f t="shared" ca="1" si="8"/>
        <v>ECUPSE 17 Index</v>
      </c>
      <c r="AE6" s="6" t="str">
        <f t="shared" ca="1" si="8"/>
        <v>ECUPSE 18 Index</v>
      </c>
      <c r="AF6" s="6" t="str">
        <f t="shared" ca="1" si="8"/>
        <v>ECUPSE 19 Index</v>
      </c>
      <c r="AG6" s="6" t="str">
        <f t="shared" ca="1" si="8"/>
        <v>ECUPSE 20 Index</v>
      </c>
      <c r="AH6" s="6" t="str">
        <f t="shared" ca="1" si="8"/>
        <v>ECUPSE 21 Index</v>
      </c>
      <c r="AI6" s="6" t="str">
        <f t="shared" ca="1" si="8"/>
        <v>ECUPSE 22 Index</v>
      </c>
      <c r="AJ6" s="6" t="str">
        <f t="shared" ca="1" si="8"/>
        <v>ECUPSE 23 Index</v>
      </c>
      <c r="AK6" s="6" t="str">
        <f t="shared" ca="1" si="8"/>
        <v>ECUPSE 24 Index</v>
      </c>
      <c r="AL6" s="6" t="str">
        <f t="shared" ca="1" si="8"/>
        <v>ECUPSE 25 Index</v>
      </c>
      <c r="AM6" s="6" t="str">
        <f t="shared" ca="1" si="10"/>
        <v>ECUPSE 26 Index</v>
      </c>
      <c r="AN6" s="6" t="str">
        <f t="shared" ca="1" si="10"/>
        <v>ECUPSE 27 Index</v>
      </c>
      <c r="AO6" s="6" t="str">
        <f t="shared" ca="1" si="8"/>
        <v>ECCASE 16 Index</v>
      </c>
      <c r="AP6" s="6" t="str">
        <f t="shared" ca="1" si="8"/>
        <v>ECCASE 17 Index</v>
      </c>
      <c r="AQ6" s="6" t="str">
        <f t="shared" ca="1" si="8"/>
        <v>ECCASE 18 Index</v>
      </c>
      <c r="AR6" s="6" t="str">
        <f t="shared" ca="1" si="11"/>
        <v>ECCASE 19 Index</v>
      </c>
      <c r="AS6" s="6" t="str">
        <f t="shared" ca="1" si="11"/>
        <v>ECCASE 20 Index</v>
      </c>
      <c r="AT6" s="6" t="str">
        <f t="shared" ca="1" si="11"/>
        <v>ECCASE 21 Index</v>
      </c>
      <c r="AU6" s="6" t="str">
        <f t="shared" ca="1" si="11"/>
        <v>ECCASE 22 Index</v>
      </c>
      <c r="AV6" s="6" t="str">
        <f t="shared" ca="1" si="11"/>
        <v>ECCASE 23 Index</v>
      </c>
      <c r="AW6" s="6" t="str">
        <f t="shared" ca="1" si="11"/>
        <v>ECCASE 24 Index</v>
      </c>
      <c r="AX6" s="6" t="str">
        <f t="shared" ca="1" si="11"/>
        <v>ECCASE 25 Index</v>
      </c>
      <c r="AY6" s="6" t="str">
        <f t="shared" ca="1" si="12"/>
        <v>ECCASE 26 Index</v>
      </c>
      <c r="AZ6" s="6" t="str">
        <f t="shared" ca="1" si="12"/>
        <v>ECCASE 27 Index</v>
      </c>
      <c r="BA6" s="6" t="str">
        <f t="shared" ca="1" si="11"/>
        <v>ECBBSE 16 Index</v>
      </c>
      <c r="BB6" s="6" t="str">
        <f t="shared" ca="1" si="11"/>
        <v>ECBBSE 17 Index</v>
      </c>
      <c r="BC6" s="6" t="str">
        <f t="shared" ca="1" si="11"/>
        <v>ECBBSE 18 Index</v>
      </c>
      <c r="BD6" s="6" t="str">
        <f t="shared" ca="1" si="11"/>
        <v>ECBBSE 19 Index</v>
      </c>
      <c r="BE6" s="6" t="str">
        <f t="shared" ca="1" si="11"/>
        <v>ECBBSE 20 Index</v>
      </c>
      <c r="BF6" s="6" t="str">
        <f t="shared" ca="1" si="11"/>
        <v>ECBBSE 21 Index</v>
      </c>
      <c r="BG6" s="6" t="str">
        <f t="shared" ca="1" si="11"/>
        <v>ECBBSE 22 Index</v>
      </c>
      <c r="BH6" s="6" t="str">
        <f t="shared" ca="1" si="11"/>
        <v>ECBBSE 23 Index</v>
      </c>
      <c r="BI6" s="6" t="str">
        <f t="shared" ca="1" si="11"/>
        <v>ECBBSE 24 Index</v>
      </c>
      <c r="BJ6" s="6" t="str">
        <f t="shared" ca="1" si="13"/>
        <v>ECBBSE 25 Index</v>
      </c>
      <c r="BK6" s="6" t="str">
        <f t="shared" ca="1" si="13"/>
        <v>ECBBSE 26 Index</v>
      </c>
      <c r="BL6" s="6" t="str">
        <f t="shared" ca="1" si="13"/>
        <v>ECBBSE 27 Index</v>
      </c>
    </row>
    <row r="7" spans="1:64" ht="18.75" customHeight="1" thickBot="1">
      <c r="A7" s="1" t="s">
        <v>19</v>
      </c>
      <c r="B7" s="1" t="s">
        <v>20</v>
      </c>
      <c r="C7" s="1" t="s">
        <v>11</v>
      </c>
      <c r="D7" s="1" t="s">
        <v>21</v>
      </c>
      <c r="E7" s="6" t="str">
        <f t="shared" ca="1" si="14"/>
        <v>ECGDEU 16 Index</v>
      </c>
      <c r="F7" s="6" t="str">
        <f t="shared" ca="1" si="7"/>
        <v>ECGDEU 17 Index</v>
      </c>
      <c r="G7" s="6" t="str">
        <f t="shared" ca="1" si="7"/>
        <v>ECGDEU 18 Index</v>
      </c>
      <c r="H7" s="6" t="str">
        <f t="shared" ca="1" si="7"/>
        <v>ECGDEU 19 Index</v>
      </c>
      <c r="I7" s="6" t="str">
        <f t="shared" ca="1" si="7"/>
        <v>ECGDEU 20 Index</v>
      </c>
      <c r="J7" s="6" t="str">
        <f t="shared" ca="1" si="7"/>
        <v>ECGDEU 21 Index</v>
      </c>
      <c r="K7" s="6" t="str">
        <f t="shared" ca="1" si="7"/>
        <v>ECGDEU 22 Index</v>
      </c>
      <c r="L7" s="6" t="str">
        <f t="shared" ca="1" si="7"/>
        <v>ECGDEU 23 Index</v>
      </c>
      <c r="M7" s="6" t="str">
        <f t="shared" ca="1" si="7"/>
        <v>ECGDEU 24 Index</v>
      </c>
      <c r="N7" s="6" t="str">
        <f t="shared" ca="1" si="7"/>
        <v>ECGDEU 25 Index</v>
      </c>
      <c r="O7" s="6" t="str">
        <f t="shared" ca="1" si="15"/>
        <v>ECGDEU 26 Index</v>
      </c>
      <c r="P7" s="6" t="str">
        <f t="shared" ca="1" si="15"/>
        <v>ECGDEU 27 Index</v>
      </c>
      <c r="Q7" s="6" t="str">
        <f t="shared" ca="1" si="7"/>
        <v>ECPIEU 16 Index</v>
      </c>
      <c r="R7" s="6" t="str">
        <f t="shared" ca="1" si="7"/>
        <v>ECPIEU 17 Index</v>
      </c>
      <c r="S7" s="6" t="str">
        <f t="shared" ca="1" si="7"/>
        <v>ECPIEU 18 Index</v>
      </c>
      <c r="T7" s="6" t="str">
        <f t="shared" ca="1" si="7"/>
        <v>ECPIEU 19 Index</v>
      </c>
      <c r="U7" s="6" t="str">
        <f t="shared" ca="1" si="7"/>
        <v>ECPIEU 20 Index</v>
      </c>
      <c r="V7" s="6" t="str">
        <f t="shared" ca="1" si="7"/>
        <v>ECPIEU 21 Index</v>
      </c>
      <c r="W7" s="6" t="str">
        <f t="shared" ca="1" si="7"/>
        <v>ECPIEU 22 Index</v>
      </c>
      <c r="X7" s="6" t="str">
        <f t="shared" ca="1" si="8"/>
        <v>ECPIEU 23 Index</v>
      </c>
      <c r="Y7" s="6" t="str">
        <f t="shared" ca="1" si="8"/>
        <v>ECPIEU 24 Index</v>
      </c>
      <c r="Z7" s="6" t="str">
        <f t="shared" ca="1" si="8"/>
        <v>ECPIEU 25 Index</v>
      </c>
      <c r="AA7" s="6" t="str">
        <f t="shared" ca="1" si="9"/>
        <v>ECPIEU 26 Index</v>
      </c>
      <c r="AB7" s="6" t="str">
        <f t="shared" ca="1" si="9"/>
        <v>ECPIEU 27 Index</v>
      </c>
      <c r="AC7" s="6" t="str">
        <f t="shared" ca="1" si="8"/>
        <v>ECUPEU 16 Index</v>
      </c>
      <c r="AD7" s="6" t="str">
        <f t="shared" ca="1" si="8"/>
        <v>ECUPEU 17 Index</v>
      </c>
      <c r="AE7" s="6" t="str">
        <f t="shared" ca="1" si="8"/>
        <v>ECUPEU 18 Index</v>
      </c>
      <c r="AF7" s="6" t="str">
        <f t="shared" ca="1" si="8"/>
        <v>ECUPEU 19 Index</v>
      </c>
      <c r="AG7" s="6" t="str">
        <f t="shared" ca="1" si="8"/>
        <v>ECUPEU 20 Index</v>
      </c>
      <c r="AH7" s="6" t="str">
        <f t="shared" ca="1" si="8"/>
        <v>ECUPEU 21 Index</v>
      </c>
      <c r="AI7" s="6" t="str">
        <f t="shared" ca="1" si="8"/>
        <v>ECUPEU 22 Index</v>
      </c>
      <c r="AJ7" s="6" t="str">
        <f t="shared" ca="1" si="8"/>
        <v>ECUPEU 23 Index</v>
      </c>
      <c r="AK7" s="6" t="str">
        <f t="shared" ca="1" si="8"/>
        <v>ECUPEU 24 Index</v>
      </c>
      <c r="AL7" s="6" t="str">
        <f t="shared" ca="1" si="8"/>
        <v>ECUPEU 25 Index</v>
      </c>
      <c r="AM7" s="6" t="str">
        <f t="shared" ca="1" si="10"/>
        <v>ECUPEU 26 Index</v>
      </c>
      <c r="AN7" s="6" t="str">
        <f t="shared" ca="1" si="10"/>
        <v>ECUPEU 27 Index</v>
      </c>
      <c r="AO7" s="6" t="str">
        <f t="shared" ca="1" si="8"/>
        <v>ECCAEU 16 Index</v>
      </c>
      <c r="AP7" s="6" t="str">
        <f t="shared" ca="1" si="8"/>
        <v>ECCAEU 17 Index</v>
      </c>
      <c r="AQ7" s="6" t="str">
        <f t="shared" ca="1" si="8"/>
        <v>ECCAEU 18 Index</v>
      </c>
      <c r="AR7" s="6" t="str">
        <f t="shared" ca="1" si="11"/>
        <v>ECCAEU 19 Index</v>
      </c>
      <c r="AS7" s="6" t="str">
        <f t="shared" ca="1" si="11"/>
        <v>ECCAEU 20 Index</v>
      </c>
      <c r="AT7" s="6" t="str">
        <f t="shared" ca="1" si="11"/>
        <v>ECCAEU 21 Index</v>
      </c>
      <c r="AU7" s="6" t="str">
        <f t="shared" ca="1" si="11"/>
        <v>ECCAEU 22 Index</v>
      </c>
      <c r="AV7" s="6" t="str">
        <f t="shared" ca="1" si="11"/>
        <v>ECCAEU 23 Index</v>
      </c>
      <c r="AW7" s="6" t="str">
        <f t="shared" ca="1" si="11"/>
        <v>ECCAEU 24 Index</v>
      </c>
      <c r="AX7" s="6" t="str">
        <f t="shared" ca="1" si="11"/>
        <v>ECCAEU 25 Index</v>
      </c>
      <c r="AY7" s="6" t="str">
        <f t="shared" ca="1" si="12"/>
        <v>ECCAEU 26 Index</v>
      </c>
      <c r="AZ7" s="6" t="str">
        <f t="shared" ca="1" si="12"/>
        <v>ECCAEU 27 Index</v>
      </c>
      <c r="BA7" s="6" t="str">
        <f t="shared" ca="1" si="11"/>
        <v>ECBBEU 16 Index</v>
      </c>
      <c r="BB7" s="6" t="str">
        <f t="shared" ca="1" si="11"/>
        <v>ECBBEU 17 Index</v>
      </c>
      <c r="BC7" s="6" t="str">
        <f t="shared" ca="1" si="11"/>
        <v>ECBBEU 18 Index</v>
      </c>
      <c r="BD7" s="6" t="str">
        <f t="shared" ca="1" si="11"/>
        <v>ECBBEU 19 Index</v>
      </c>
      <c r="BE7" s="6" t="str">
        <f t="shared" ca="1" si="11"/>
        <v>ECBBEU 20 Index</v>
      </c>
      <c r="BF7" s="6" t="str">
        <f t="shared" ca="1" si="11"/>
        <v>ECBBEU 21 Index</v>
      </c>
      <c r="BG7" s="6" t="str">
        <f t="shared" ca="1" si="11"/>
        <v>ECBBEU 22 Index</v>
      </c>
      <c r="BH7" s="6" t="str">
        <f t="shared" ca="1" si="11"/>
        <v>ECBBEU 23 Index</v>
      </c>
      <c r="BI7" s="6" t="str">
        <f t="shared" ca="1" si="11"/>
        <v>ECBBEU 24 Index</v>
      </c>
      <c r="BJ7" s="6" t="str">
        <f t="shared" ca="1" si="13"/>
        <v>ECBBEU 25 Index</v>
      </c>
      <c r="BK7" s="6" t="str">
        <f t="shared" ca="1" si="13"/>
        <v>ECBBEU 26 Index</v>
      </c>
      <c r="BL7" s="6" t="str">
        <f t="shared" ca="1" si="13"/>
        <v>ECBBEU 27 Index</v>
      </c>
    </row>
    <row r="8" spans="1:64" ht="18.75" customHeight="1" thickBot="1">
      <c r="A8" s="1" t="s">
        <v>22</v>
      </c>
      <c r="B8" s="1" t="s">
        <v>23</v>
      </c>
      <c r="C8" s="1" t="s">
        <v>11</v>
      </c>
      <c r="D8" s="1" t="s">
        <v>24</v>
      </c>
      <c r="E8" s="6" t="str">
        <f t="shared" ca="1" si="14"/>
        <v>ECGDDE 16 Index</v>
      </c>
      <c r="F8" s="6" t="str">
        <f t="shared" ca="1" si="7"/>
        <v>ECGDDE 17 Index</v>
      </c>
      <c r="G8" s="6" t="str">
        <f t="shared" ca="1" si="7"/>
        <v>ECGDDE 18 Index</v>
      </c>
      <c r="H8" s="6" t="str">
        <f t="shared" ca="1" si="7"/>
        <v>ECGDDE 19 Index</v>
      </c>
      <c r="I8" s="6" t="str">
        <f t="shared" ca="1" si="7"/>
        <v>ECGDDE 20 Index</v>
      </c>
      <c r="J8" s="6" t="str">
        <f t="shared" ca="1" si="7"/>
        <v>ECGDDE 21 Index</v>
      </c>
      <c r="K8" s="6" t="str">
        <f t="shared" ca="1" si="7"/>
        <v>ECGDDE 22 Index</v>
      </c>
      <c r="L8" s="6" t="str">
        <f t="shared" ca="1" si="7"/>
        <v>ECGDDE 23 Index</v>
      </c>
      <c r="M8" s="6" t="str">
        <f t="shared" ca="1" si="7"/>
        <v>ECGDDE 24 Index</v>
      </c>
      <c r="N8" s="6" t="str">
        <f t="shared" ca="1" si="7"/>
        <v>ECGDDE 25 Index</v>
      </c>
      <c r="O8" s="6" t="str">
        <f t="shared" ca="1" si="15"/>
        <v>ECGDDE 26 Index</v>
      </c>
      <c r="P8" s="6" t="str">
        <f t="shared" ca="1" si="15"/>
        <v>ECGDDE 27 Index</v>
      </c>
      <c r="Q8" s="6" t="str">
        <f t="shared" ca="1" si="7"/>
        <v>ECPIDE 16 Index</v>
      </c>
      <c r="R8" s="6" t="str">
        <f t="shared" ca="1" si="7"/>
        <v>ECPIDE 17 Index</v>
      </c>
      <c r="S8" s="6" t="str">
        <f t="shared" ca="1" si="7"/>
        <v>ECPIDE 18 Index</v>
      </c>
      <c r="T8" s="6" t="str">
        <f t="shared" ca="1" si="7"/>
        <v>ECPIDE 19 Index</v>
      </c>
      <c r="U8" s="6" t="str">
        <f t="shared" ca="1" si="7"/>
        <v>ECPIDE 20 Index</v>
      </c>
      <c r="V8" s="6" t="str">
        <f t="shared" ca="1" si="7"/>
        <v>ECPIDE 21 Index</v>
      </c>
      <c r="W8" s="6" t="str">
        <f t="shared" ca="1" si="7"/>
        <v>ECPIDE 22 Index</v>
      </c>
      <c r="X8" s="6" t="str">
        <f t="shared" ca="1" si="8"/>
        <v>ECPIDE 23 Index</v>
      </c>
      <c r="Y8" s="6" t="str">
        <f t="shared" ca="1" si="8"/>
        <v>ECPIDE 24 Index</v>
      </c>
      <c r="Z8" s="6" t="str">
        <f t="shared" ca="1" si="8"/>
        <v>ECPIDE 25 Index</v>
      </c>
      <c r="AA8" s="6" t="str">
        <f t="shared" ca="1" si="9"/>
        <v>ECPIDE 26 Index</v>
      </c>
      <c r="AB8" s="6" t="str">
        <f t="shared" ca="1" si="9"/>
        <v>ECPIDE 27 Index</v>
      </c>
      <c r="AC8" s="6" t="str">
        <f t="shared" ca="1" si="8"/>
        <v>ECUPDE 16 Index</v>
      </c>
      <c r="AD8" s="6" t="str">
        <f t="shared" ca="1" si="8"/>
        <v>ECUPDE 17 Index</v>
      </c>
      <c r="AE8" s="6" t="str">
        <f t="shared" ca="1" si="8"/>
        <v>ECUPDE 18 Index</v>
      </c>
      <c r="AF8" s="6" t="str">
        <f t="shared" ca="1" si="8"/>
        <v>ECUPDE 19 Index</v>
      </c>
      <c r="AG8" s="6" t="str">
        <f t="shared" ca="1" si="8"/>
        <v>ECUPDE 20 Index</v>
      </c>
      <c r="AH8" s="6" t="str">
        <f t="shared" ca="1" si="8"/>
        <v>ECUPDE 21 Index</v>
      </c>
      <c r="AI8" s="6" t="str">
        <f t="shared" ca="1" si="8"/>
        <v>ECUPDE 22 Index</v>
      </c>
      <c r="AJ8" s="6" t="str">
        <f t="shared" ca="1" si="8"/>
        <v>ECUPDE 23 Index</v>
      </c>
      <c r="AK8" s="6" t="str">
        <f t="shared" ca="1" si="8"/>
        <v>ECUPDE 24 Index</v>
      </c>
      <c r="AL8" s="6" t="str">
        <f t="shared" ca="1" si="8"/>
        <v>ECUPDE 25 Index</v>
      </c>
      <c r="AM8" s="6" t="str">
        <f t="shared" ca="1" si="10"/>
        <v>ECUPDE 26 Index</v>
      </c>
      <c r="AN8" s="6" t="str">
        <f t="shared" ca="1" si="10"/>
        <v>ECUPDE 27 Index</v>
      </c>
      <c r="AO8" s="6" t="str">
        <f t="shared" ca="1" si="8"/>
        <v>ECCADE 16 Index</v>
      </c>
      <c r="AP8" s="6" t="str">
        <f t="shared" ca="1" si="8"/>
        <v>ECCADE 17 Index</v>
      </c>
      <c r="AQ8" s="6" t="str">
        <f t="shared" ca="1" si="8"/>
        <v>ECCADE 18 Index</v>
      </c>
      <c r="AR8" s="6" t="str">
        <f t="shared" ca="1" si="11"/>
        <v>ECCADE 19 Index</v>
      </c>
      <c r="AS8" s="6" t="str">
        <f t="shared" ca="1" si="11"/>
        <v>ECCADE 20 Index</v>
      </c>
      <c r="AT8" s="6" t="str">
        <f t="shared" ca="1" si="11"/>
        <v>ECCADE 21 Index</v>
      </c>
      <c r="AU8" s="6" t="str">
        <f t="shared" ca="1" si="11"/>
        <v>ECCADE 22 Index</v>
      </c>
      <c r="AV8" s="6" t="str">
        <f t="shared" ca="1" si="11"/>
        <v>ECCADE 23 Index</v>
      </c>
      <c r="AW8" s="6" t="str">
        <f t="shared" ca="1" si="11"/>
        <v>ECCADE 24 Index</v>
      </c>
      <c r="AX8" s="6" t="str">
        <f t="shared" ca="1" si="11"/>
        <v>ECCADE 25 Index</v>
      </c>
      <c r="AY8" s="6" t="str">
        <f t="shared" ca="1" si="12"/>
        <v>ECCADE 26 Index</v>
      </c>
      <c r="AZ8" s="6" t="str">
        <f t="shared" ca="1" si="12"/>
        <v>ECCADE 27 Index</v>
      </c>
      <c r="BA8" s="6" t="str">
        <f t="shared" ca="1" si="11"/>
        <v>ECBBDE 16 Index</v>
      </c>
      <c r="BB8" s="6" t="str">
        <f t="shared" ca="1" si="11"/>
        <v>ECBBDE 17 Index</v>
      </c>
      <c r="BC8" s="6" t="str">
        <f t="shared" ca="1" si="11"/>
        <v>ECBBDE 18 Index</v>
      </c>
      <c r="BD8" s="6" t="str">
        <f t="shared" ca="1" si="11"/>
        <v>ECBBDE 19 Index</v>
      </c>
      <c r="BE8" s="6" t="str">
        <f t="shared" ca="1" si="11"/>
        <v>ECBBDE 20 Index</v>
      </c>
      <c r="BF8" s="6" t="str">
        <f t="shared" ca="1" si="11"/>
        <v>ECBBDE 21 Index</v>
      </c>
      <c r="BG8" s="6" t="str">
        <f t="shared" ca="1" si="11"/>
        <v>ECBBDE 22 Index</v>
      </c>
      <c r="BH8" s="6" t="str">
        <f t="shared" ca="1" si="11"/>
        <v>ECBBDE 23 Index</v>
      </c>
      <c r="BI8" s="6" t="str">
        <f t="shared" ca="1" si="11"/>
        <v>ECBBDE 24 Index</v>
      </c>
      <c r="BJ8" s="6" t="str">
        <f t="shared" ca="1" si="13"/>
        <v>ECBBDE 25 Index</v>
      </c>
      <c r="BK8" s="6" t="str">
        <f t="shared" ca="1" si="13"/>
        <v>ECBBDE 26 Index</v>
      </c>
      <c r="BL8" s="6" t="str">
        <f t="shared" ca="1" si="13"/>
        <v>ECBBDE 27 Index</v>
      </c>
    </row>
    <row r="9" spans="1:64" ht="18.75" customHeight="1" thickBot="1">
      <c r="A9" s="1" t="s">
        <v>25</v>
      </c>
      <c r="B9" s="1" t="s">
        <v>26</v>
      </c>
      <c r="C9" s="1" t="s">
        <v>11</v>
      </c>
      <c r="D9" s="1" t="s">
        <v>27</v>
      </c>
      <c r="E9" s="6" t="str">
        <f t="shared" ca="1" si="14"/>
        <v>ECGDFR 16 Index</v>
      </c>
      <c r="F9" s="6" t="str">
        <f t="shared" ca="1" si="7"/>
        <v>ECGDFR 17 Index</v>
      </c>
      <c r="G9" s="6" t="str">
        <f t="shared" ca="1" si="7"/>
        <v>ECGDFR 18 Index</v>
      </c>
      <c r="H9" s="6" t="str">
        <f t="shared" ca="1" si="7"/>
        <v>ECGDFR 19 Index</v>
      </c>
      <c r="I9" s="6" t="str">
        <f t="shared" ca="1" si="7"/>
        <v>ECGDFR 20 Index</v>
      </c>
      <c r="J9" s="6" t="str">
        <f t="shared" ca="1" si="7"/>
        <v>ECGDFR 21 Index</v>
      </c>
      <c r="K9" s="6" t="str">
        <f t="shared" ca="1" si="7"/>
        <v>ECGDFR 22 Index</v>
      </c>
      <c r="L9" s="6" t="str">
        <f t="shared" ca="1" si="7"/>
        <v>ECGDFR 23 Index</v>
      </c>
      <c r="M9" s="6" t="str">
        <f t="shared" ca="1" si="7"/>
        <v>ECGDFR 24 Index</v>
      </c>
      <c r="N9" s="6" t="str">
        <f t="shared" ca="1" si="7"/>
        <v>ECGDFR 25 Index</v>
      </c>
      <c r="O9" s="6" t="str">
        <f t="shared" ca="1" si="15"/>
        <v>ECGDFR 26 Index</v>
      </c>
      <c r="P9" s="6" t="str">
        <f t="shared" ca="1" si="15"/>
        <v>ECGDFR 27 Index</v>
      </c>
      <c r="Q9" s="6" t="str">
        <f t="shared" ca="1" si="7"/>
        <v>ECPIFR 16 Index</v>
      </c>
      <c r="R9" s="6" t="str">
        <f t="shared" ca="1" si="7"/>
        <v>ECPIFR 17 Index</v>
      </c>
      <c r="S9" s="6" t="str">
        <f t="shared" ca="1" si="7"/>
        <v>ECPIFR 18 Index</v>
      </c>
      <c r="T9" s="6" t="str">
        <f t="shared" ca="1" si="7"/>
        <v>ECPIFR 19 Index</v>
      </c>
      <c r="U9" s="6" t="str">
        <f t="shared" ca="1" si="7"/>
        <v>ECPIFR 20 Index</v>
      </c>
      <c r="V9" s="6" t="str">
        <f t="shared" ca="1" si="7"/>
        <v>ECPIFR 21 Index</v>
      </c>
      <c r="W9" s="6" t="str">
        <f t="shared" ca="1" si="7"/>
        <v>ECPIFR 22 Index</v>
      </c>
      <c r="X9" s="6" t="str">
        <f t="shared" ca="1" si="8"/>
        <v>ECPIFR 23 Index</v>
      </c>
      <c r="Y9" s="6" t="str">
        <f t="shared" ca="1" si="8"/>
        <v>ECPIFR 24 Index</v>
      </c>
      <c r="Z9" s="6" t="str">
        <f t="shared" ca="1" si="8"/>
        <v>ECPIFR 25 Index</v>
      </c>
      <c r="AA9" s="6" t="str">
        <f t="shared" ca="1" si="9"/>
        <v>ECPIFR 26 Index</v>
      </c>
      <c r="AB9" s="6" t="str">
        <f t="shared" ca="1" si="9"/>
        <v>ECPIFR 27 Index</v>
      </c>
      <c r="AC9" s="6" t="str">
        <f t="shared" ca="1" si="8"/>
        <v>ECUPFR 16 Index</v>
      </c>
      <c r="AD9" s="6" t="str">
        <f t="shared" ca="1" si="8"/>
        <v>ECUPFR 17 Index</v>
      </c>
      <c r="AE9" s="6" t="str">
        <f t="shared" ca="1" si="8"/>
        <v>ECUPFR 18 Index</v>
      </c>
      <c r="AF9" s="6" t="str">
        <f t="shared" ca="1" si="8"/>
        <v>ECUPFR 19 Index</v>
      </c>
      <c r="AG9" s="6" t="str">
        <f t="shared" ca="1" si="8"/>
        <v>ECUPFR 20 Index</v>
      </c>
      <c r="AH9" s="6" t="str">
        <f t="shared" ca="1" si="8"/>
        <v>ECUPFR 21 Index</v>
      </c>
      <c r="AI9" s="6" t="str">
        <f t="shared" ca="1" si="8"/>
        <v>ECUPFR 22 Index</v>
      </c>
      <c r="AJ9" s="6" t="str">
        <f t="shared" ca="1" si="8"/>
        <v>ECUPFR 23 Index</v>
      </c>
      <c r="AK9" s="6" t="str">
        <f t="shared" ca="1" si="8"/>
        <v>ECUPFR 24 Index</v>
      </c>
      <c r="AL9" s="6" t="str">
        <f t="shared" ca="1" si="8"/>
        <v>ECUPFR 25 Index</v>
      </c>
      <c r="AM9" s="6" t="str">
        <f t="shared" ca="1" si="10"/>
        <v>ECUPFR 26 Index</v>
      </c>
      <c r="AN9" s="6" t="str">
        <f t="shared" ca="1" si="10"/>
        <v>ECUPFR 27 Index</v>
      </c>
      <c r="AO9" s="6" t="str">
        <f t="shared" ca="1" si="8"/>
        <v>ECCAFR 16 Index</v>
      </c>
      <c r="AP9" s="6" t="str">
        <f t="shared" ca="1" si="8"/>
        <v>ECCAFR 17 Index</v>
      </c>
      <c r="AQ9" s="6" t="str">
        <f t="shared" ca="1" si="8"/>
        <v>ECCAFR 18 Index</v>
      </c>
      <c r="AR9" s="6" t="str">
        <f t="shared" ca="1" si="11"/>
        <v>ECCAFR 19 Index</v>
      </c>
      <c r="AS9" s="6" t="str">
        <f t="shared" ca="1" si="11"/>
        <v>ECCAFR 20 Index</v>
      </c>
      <c r="AT9" s="6" t="str">
        <f t="shared" ca="1" si="11"/>
        <v>ECCAFR 21 Index</v>
      </c>
      <c r="AU9" s="6" t="str">
        <f t="shared" ca="1" si="11"/>
        <v>ECCAFR 22 Index</v>
      </c>
      <c r="AV9" s="6" t="str">
        <f t="shared" ca="1" si="11"/>
        <v>ECCAFR 23 Index</v>
      </c>
      <c r="AW9" s="6" t="str">
        <f t="shared" ca="1" si="11"/>
        <v>ECCAFR 24 Index</v>
      </c>
      <c r="AX9" s="6" t="str">
        <f t="shared" ca="1" si="11"/>
        <v>ECCAFR 25 Index</v>
      </c>
      <c r="AY9" s="6" t="str">
        <f t="shared" ca="1" si="12"/>
        <v>ECCAFR 26 Index</v>
      </c>
      <c r="AZ9" s="6" t="str">
        <f t="shared" ca="1" si="12"/>
        <v>ECCAFR 27 Index</v>
      </c>
      <c r="BA9" s="6" t="str">
        <f t="shared" ca="1" si="11"/>
        <v>ECBBFR 16 Index</v>
      </c>
      <c r="BB9" s="6" t="str">
        <f t="shared" ca="1" si="11"/>
        <v>ECBBFR 17 Index</v>
      </c>
      <c r="BC9" s="6" t="str">
        <f t="shared" ca="1" si="11"/>
        <v>ECBBFR 18 Index</v>
      </c>
      <c r="BD9" s="6" t="str">
        <f t="shared" ca="1" si="11"/>
        <v>ECBBFR 19 Index</v>
      </c>
      <c r="BE9" s="6" t="str">
        <f t="shared" ca="1" si="11"/>
        <v>ECBBFR 20 Index</v>
      </c>
      <c r="BF9" s="6" t="str">
        <f t="shared" ca="1" si="11"/>
        <v>ECBBFR 21 Index</v>
      </c>
      <c r="BG9" s="6" t="str">
        <f t="shared" ca="1" si="11"/>
        <v>ECBBFR 22 Index</v>
      </c>
      <c r="BH9" s="6" t="str">
        <f t="shared" ca="1" si="11"/>
        <v>ECBBFR 23 Index</v>
      </c>
      <c r="BI9" s="6" t="str">
        <f t="shared" ca="1" si="11"/>
        <v>ECBBFR 24 Index</v>
      </c>
      <c r="BJ9" s="6" t="str">
        <f t="shared" ca="1" si="13"/>
        <v>ECBBFR 25 Index</v>
      </c>
      <c r="BK9" s="6" t="str">
        <f t="shared" ca="1" si="13"/>
        <v>ECBBFR 26 Index</v>
      </c>
      <c r="BL9" s="6" t="str">
        <f t="shared" ca="1" si="13"/>
        <v>ECBBFR 27 Index</v>
      </c>
    </row>
    <row r="10" spans="1:64" ht="18.75" customHeight="1" thickBot="1">
      <c r="A10" s="1" t="s">
        <v>28</v>
      </c>
      <c r="B10" s="1" t="s">
        <v>29</v>
      </c>
      <c r="C10" s="1" t="s">
        <v>11</v>
      </c>
      <c r="D10" s="1" t="s">
        <v>30</v>
      </c>
      <c r="E10" s="6" t="str">
        <f t="shared" ca="1" si="14"/>
        <v>ECGDIT 16 Index</v>
      </c>
      <c r="F10" s="6" t="str">
        <f t="shared" ca="1" si="7"/>
        <v>ECGDIT 17 Index</v>
      </c>
      <c r="G10" s="6" t="str">
        <f t="shared" ca="1" si="7"/>
        <v>ECGDIT 18 Index</v>
      </c>
      <c r="H10" s="6" t="str">
        <f t="shared" ca="1" si="7"/>
        <v>ECGDIT 19 Index</v>
      </c>
      <c r="I10" s="6" t="str">
        <f t="shared" ca="1" si="7"/>
        <v>ECGDIT 20 Index</v>
      </c>
      <c r="J10" s="6" t="str">
        <f t="shared" ca="1" si="7"/>
        <v>ECGDIT 21 Index</v>
      </c>
      <c r="K10" s="6" t="str">
        <f t="shared" ca="1" si="7"/>
        <v>ECGDIT 22 Index</v>
      </c>
      <c r="L10" s="6" t="str">
        <f t="shared" ca="1" si="7"/>
        <v>ECGDIT 23 Index</v>
      </c>
      <c r="M10" s="6" t="str">
        <f t="shared" ca="1" si="7"/>
        <v>ECGDIT 24 Index</v>
      </c>
      <c r="N10" s="6" t="str">
        <f t="shared" ca="1" si="7"/>
        <v>ECGDIT 25 Index</v>
      </c>
      <c r="O10" s="6" t="str">
        <f t="shared" ca="1" si="15"/>
        <v>ECGDIT 26 Index</v>
      </c>
      <c r="P10" s="6" t="str">
        <f t="shared" ca="1" si="15"/>
        <v>ECGDIT 27 Index</v>
      </c>
      <c r="Q10" s="6" t="str">
        <f t="shared" ca="1" si="7"/>
        <v>ECPIIT 16 Index</v>
      </c>
      <c r="R10" s="6" t="str">
        <f t="shared" ca="1" si="7"/>
        <v>ECPIIT 17 Index</v>
      </c>
      <c r="S10" s="6" t="str">
        <f t="shared" ca="1" si="7"/>
        <v>ECPIIT 18 Index</v>
      </c>
      <c r="T10" s="6" t="str">
        <f t="shared" ca="1" si="7"/>
        <v>ECPIIT 19 Index</v>
      </c>
      <c r="U10" s="6" t="str">
        <f t="shared" ca="1" si="7"/>
        <v>ECPIIT 20 Index</v>
      </c>
      <c r="V10" s="6" t="str">
        <f t="shared" ca="1" si="7"/>
        <v>ECPIIT 21 Index</v>
      </c>
      <c r="W10" s="6" t="str">
        <f t="shared" ca="1" si="7"/>
        <v>ECPIIT 22 Index</v>
      </c>
      <c r="X10" s="6" t="str">
        <f t="shared" ca="1" si="8"/>
        <v>ECPIIT 23 Index</v>
      </c>
      <c r="Y10" s="6" t="str">
        <f t="shared" ca="1" si="8"/>
        <v>ECPIIT 24 Index</v>
      </c>
      <c r="Z10" s="6" t="str">
        <f t="shared" ca="1" si="8"/>
        <v>ECPIIT 25 Index</v>
      </c>
      <c r="AA10" s="6" t="str">
        <f t="shared" ca="1" si="9"/>
        <v>ECPIIT 26 Index</v>
      </c>
      <c r="AB10" s="6" t="str">
        <f t="shared" ca="1" si="9"/>
        <v>ECPIIT 27 Index</v>
      </c>
      <c r="AC10" s="6" t="str">
        <f t="shared" ca="1" si="8"/>
        <v>ECUPIT 16 Index</v>
      </c>
      <c r="AD10" s="6" t="str">
        <f t="shared" ca="1" si="8"/>
        <v>ECUPIT 17 Index</v>
      </c>
      <c r="AE10" s="6" t="str">
        <f t="shared" ca="1" si="8"/>
        <v>ECUPIT 18 Index</v>
      </c>
      <c r="AF10" s="6" t="str">
        <f t="shared" ca="1" si="8"/>
        <v>ECUPIT 19 Index</v>
      </c>
      <c r="AG10" s="6" t="str">
        <f t="shared" ca="1" si="8"/>
        <v>ECUPIT 20 Index</v>
      </c>
      <c r="AH10" s="6" t="str">
        <f t="shared" ca="1" si="8"/>
        <v>ECUPIT 21 Index</v>
      </c>
      <c r="AI10" s="6" t="str">
        <f t="shared" ca="1" si="8"/>
        <v>ECUPIT 22 Index</v>
      </c>
      <c r="AJ10" s="6" t="str">
        <f t="shared" ca="1" si="8"/>
        <v>ECUPIT 23 Index</v>
      </c>
      <c r="AK10" s="6" t="str">
        <f t="shared" ca="1" si="8"/>
        <v>ECUPIT 24 Index</v>
      </c>
      <c r="AL10" s="6" t="str">
        <f t="shared" ca="1" si="8"/>
        <v>ECUPIT 25 Index</v>
      </c>
      <c r="AM10" s="6" t="str">
        <f t="shared" ca="1" si="10"/>
        <v>ECUPIT 26 Index</v>
      </c>
      <c r="AN10" s="6" t="str">
        <f t="shared" ca="1" si="10"/>
        <v>ECUPIT 27 Index</v>
      </c>
      <c r="AO10" s="6" t="str">
        <f t="shared" ca="1" si="8"/>
        <v>ECCAIT 16 Index</v>
      </c>
      <c r="AP10" s="6" t="str">
        <f t="shared" ca="1" si="8"/>
        <v>ECCAIT 17 Index</v>
      </c>
      <c r="AQ10" s="6" t="str">
        <f t="shared" ca="1" si="8"/>
        <v>ECCAIT 18 Index</v>
      </c>
      <c r="AR10" s="6" t="str">
        <f t="shared" ca="1" si="11"/>
        <v>ECCAIT 19 Index</v>
      </c>
      <c r="AS10" s="6" t="str">
        <f t="shared" ca="1" si="11"/>
        <v>ECCAIT 20 Index</v>
      </c>
      <c r="AT10" s="6" t="str">
        <f t="shared" ca="1" si="11"/>
        <v>ECCAIT 21 Index</v>
      </c>
      <c r="AU10" s="6" t="str">
        <f t="shared" ca="1" si="11"/>
        <v>ECCAIT 22 Index</v>
      </c>
      <c r="AV10" s="6" t="str">
        <f t="shared" ca="1" si="11"/>
        <v>ECCAIT 23 Index</v>
      </c>
      <c r="AW10" s="6" t="str">
        <f t="shared" ca="1" si="11"/>
        <v>ECCAIT 24 Index</v>
      </c>
      <c r="AX10" s="6" t="str">
        <f t="shared" ca="1" si="11"/>
        <v>ECCAIT 25 Index</v>
      </c>
      <c r="AY10" s="6" t="str">
        <f t="shared" ca="1" si="12"/>
        <v>ECCAIT 26 Index</v>
      </c>
      <c r="AZ10" s="6" t="str">
        <f t="shared" ca="1" si="12"/>
        <v>ECCAIT 27 Index</v>
      </c>
      <c r="BA10" s="6" t="str">
        <f t="shared" ca="1" si="11"/>
        <v>ECBBIT 16 Index</v>
      </c>
      <c r="BB10" s="6" t="str">
        <f t="shared" ca="1" si="11"/>
        <v>ECBBIT 17 Index</v>
      </c>
      <c r="BC10" s="6" t="str">
        <f t="shared" ca="1" si="11"/>
        <v>ECBBIT 18 Index</v>
      </c>
      <c r="BD10" s="6" t="str">
        <f t="shared" ca="1" si="11"/>
        <v>ECBBIT 19 Index</v>
      </c>
      <c r="BE10" s="6" t="str">
        <f t="shared" ca="1" si="11"/>
        <v>ECBBIT 20 Index</v>
      </c>
      <c r="BF10" s="6" t="str">
        <f t="shared" ca="1" si="11"/>
        <v>ECBBIT 21 Index</v>
      </c>
      <c r="BG10" s="6" t="str">
        <f t="shared" ca="1" si="11"/>
        <v>ECBBIT 22 Index</v>
      </c>
      <c r="BH10" s="6" t="str">
        <f t="shared" ca="1" si="11"/>
        <v>ECBBIT 23 Index</v>
      </c>
      <c r="BI10" s="6" t="str">
        <f t="shared" ca="1" si="11"/>
        <v>ECBBIT 24 Index</v>
      </c>
      <c r="BJ10" s="6" t="str">
        <f t="shared" ca="1" si="13"/>
        <v>ECBBIT 25 Index</v>
      </c>
      <c r="BK10" s="6" t="str">
        <f t="shared" ca="1" si="13"/>
        <v>ECBBIT 26 Index</v>
      </c>
      <c r="BL10" s="6" t="str">
        <f t="shared" ca="1" si="13"/>
        <v>ECBBIT 27 Index</v>
      </c>
    </row>
    <row r="11" spans="1:64" ht="18.75" customHeight="1" thickBot="1">
      <c r="A11" s="1" t="s">
        <v>31</v>
      </c>
      <c r="B11" s="1" t="s">
        <v>32</v>
      </c>
      <c r="C11" s="1" t="s">
        <v>11</v>
      </c>
      <c r="D11" s="1" t="s">
        <v>33</v>
      </c>
      <c r="E11" s="6" t="str">
        <f t="shared" ca="1" si="14"/>
        <v>ECGDGB 16 Index</v>
      </c>
      <c r="F11" s="6" t="str">
        <f t="shared" ca="1" si="7"/>
        <v>ECGDGB 17 Index</v>
      </c>
      <c r="G11" s="6" t="str">
        <f t="shared" ca="1" si="7"/>
        <v>ECGDGB 18 Index</v>
      </c>
      <c r="H11" s="6" t="str">
        <f t="shared" ca="1" si="7"/>
        <v>ECGDGB 19 Index</v>
      </c>
      <c r="I11" s="6" t="str">
        <f t="shared" ca="1" si="7"/>
        <v>ECGDGB 20 Index</v>
      </c>
      <c r="J11" s="6" t="str">
        <f t="shared" ca="1" si="7"/>
        <v>ECGDGB 21 Index</v>
      </c>
      <c r="K11" s="6" t="str">
        <f t="shared" ca="1" si="7"/>
        <v>ECGDGB 22 Index</v>
      </c>
      <c r="L11" s="6" t="str">
        <f t="shared" ca="1" si="7"/>
        <v>ECGDGB 23 Index</v>
      </c>
      <c r="M11" s="6" t="str">
        <f t="shared" ca="1" si="7"/>
        <v>ECGDGB 24 Index</v>
      </c>
      <c r="N11" s="6" t="str">
        <f t="shared" ca="1" si="7"/>
        <v>ECGDGB 25 Index</v>
      </c>
      <c r="O11" s="6" t="str">
        <f t="shared" ca="1" si="15"/>
        <v>ECGDGB 26 Index</v>
      </c>
      <c r="P11" s="6" t="str">
        <f t="shared" ca="1" si="15"/>
        <v>ECGDGB 27 Index</v>
      </c>
      <c r="Q11" s="6" t="str">
        <f t="shared" ca="1" si="7"/>
        <v>ECPIGB 16 Index</v>
      </c>
      <c r="R11" s="6" t="str">
        <f t="shared" ca="1" si="7"/>
        <v>ECPIGB 17 Index</v>
      </c>
      <c r="S11" s="6" t="str">
        <f t="shared" ca="1" si="7"/>
        <v>ECPIGB 18 Index</v>
      </c>
      <c r="T11" s="6" t="str">
        <f t="shared" ca="1" si="7"/>
        <v>ECPIGB 19 Index</v>
      </c>
      <c r="U11" s="6" t="str">
        <f t="shared" ca="1" si="7"/>
        <v>ECPIGB 20 Index</v>
      </c>
      <c r="V11" s="6" t="str">
        <f t="shared" ca="1" si="7"/>
        <v>ECPIGB 21 Index</v>
      </c>
      <c r="W11" s="6" t="str">
        <f t="shared" ca="1" si="7"/>
        <v>ECPIGB 22 Index</v>
      </c>
      <c r="X11" s="6" t="str">
        <f t="shared" ca="1" si="8"/>
        <v>ECPIGB 23 Index</v>
      </c>
      <c r="Y11" s="6" t="str">
        <f t="shared" ca="1" si="8"/>
        <v>ECPIGB 24 Index</v>
      </c>
      <c r="Z11" s="6" t="str">
        <f t="shared" ca="1" si="8"/>
        <v>ECPIGB 25 Index</v>
      </c>
      <c r="AA11" s="6" t="str">
        <f t="shared" ca="1" si="9"/>
        <v>ECPIGB 26 Index</v>
      </c>
      <c r="AB11" s="6" t="str">
        <f t="shared" ca="1" si="9"/>
        <v>ECPIGB 27 Index</v>
      </c>
      <c r="AC11" s="6" t="str">
        <f t="shared" ca="1" si="8"/>
        <v>ECUPGB 16 Index</v>
      </c>
      <c r="AD11" s="6" t="str">
        <f t="shared" ca="1" si="8"/>
        <v>ECUPGB 17 Index</v>
      </c>
      <c r="AE11" s="6" t="str">
        <f t="shared" ca="1" si="8"/>
        <v>ECUPGB 18 Index</v>
      </c>
      <c r="AF11" s="6" t="str">
        <f t="shared" ca="1" si="8"/>
        <v>ECUPGB 19 Index</v>
      </c>
      <c r="AG11" s="6" t="str">
        <f t="shared" ca="1" si="8"/>
        <v>ECUPGB 20 Index</v>
      </c>
      <c r="AH11" s="6" t="str">
        <f t="shared" ca="1" si="8"/>
        <v>ECUPGB 21 Index</v>
      </c>
      <c r="AI11" s="6" t="str">
        <f t="shared" ca="1" si="8"/>
        <v>ECUPGB 22 Index</v>
      </c>
      <c r="AJ11" s="6" t="str">
        <f t="shared" ca="1" si="8"/>
        <v>ECUPGB 23 Index</v>
      </c>
      <c r="AK11" s="6" t="str">
        <f t="shared" ca="1" si="8"/>
        <v>ECUPGB 24 Index</v>
      </c>
      <c r="AL11" s="6" t="str">
        <f t="shared" ca="1" si="8"/>
        <v>ECUPGB 25 Index</v>
      </c>
      <c r="AM11" s="6" t="str">
        <f t="shared" ca="1" si="10"/>
        <v>ECUPGB 26 Index</v>
      </c>
      <c r="AN11" s="6" t="str">
        <f t="shared" ca="1" si="10"/>
        <v>ECUPGB 27 Index</v>
      </c>
      <c r="AO11" s="6" t="str">
        <f t="shared" ca="1" si="8"/>
        <v>ECCAGB 16 Index</v>
      </c>
      <c r="AP11" s="6" t="str">
        <f t="shared" ca="1" si="8"/>
        <v>ECCAGB 17 Index</v>
      </c>
      <c r="AQ11" s="6" t="str">
        <f t="shared" ca="1" si="8"/>
        <v>ECCAGB 18 Index</v>
      </c>
      <c r="AR11" s="6" t="str">
        <f t="shared" ca="1" si="11"/>
        <v>ECCAGB 19 Index</v>
      </c>
      <c r="AS11" s="6" t="str">
        <f t="shared" ca="1" si="11"/>
        <v>ECCAGB 20 Index</v>
      </c>
      <c r="AT11" s="6" t="str">
        <f t="shared" ca="1" si="11"/>
        <v>ECCAGB 21 Index</v>
      </c>
      <c r="AU11" s="6" t="str">
        <f t="shared" ca="1" si="11"/>
        <v>ECCAGB 22 Index</v>
      </c>
      <c r="AV11" s="6" t="str">
        <f t="shared" ca="1" si="11"/>
        <v>ECCAGB 23 Index</v>
      </c>
      <c r="AW11" s="6" t="str">
        <f t="shared" ca="1" si="11"/>
        <v>ECCAGB 24 Index</v>
      </c>
      <c r="AX11" s="6" t="str">
        <f t="shared" ca="1" si="11"/>
        <v>ECCAGB 25 Index</v>
      </c>
      <c r="AY11" s="6" t="str">
        <f t="shared" ca="1" si="12"/>
        <v>ECCAGB 26 Index</v>
      </c>
      <c r="AZ11" s="6" t="str">
        <f t="shared" ca="1" si="12"/>
        <v>ECCAGB 27 Index</v>
      </c>
      <c r="BA11" s="6" t="str">
        <f t="shared" ca="1" si="11"/>
        <v>ECBBGB 16 Index</v>
      </c>
      <c r="BB11" s="6" t="str">
        <f t="shared" ca="1" si="11"/>
        <v>ECBBGB 17 Index</v>
      </c>
      <c r="BC11" s="6" t="str">
        <f t="shared" ca="1" si="11"/>
        <v>ECBBGB 18 Index</v>
      </c>
      <c r="BD11" s="6" t="str">
        <f t="shared" ca="1" si="11"/>
        <v>ECBBGB 19 Index</v>
      </c>
      <c r="BE11" s="6" t="str">
        <f t="shared" ca="1" si="11"/>
        <v>ECBBGB 20 Index</v>
      </c>
      <c r="BF11" s="6" t="str">
        <f t="shared" ca="1" si="11"/>
        <v>ECBBGB 21 Index</v>
      </c>
      <c r="BG11" s="6" t="str">
        <f t="shared" ca="1" si="11"/>
        <v>ECBBGB 22 Index</v>
      </c>
      <c r="BH11" s="6" t="str">
        <f t="shared" ca="1" si="11"/>
        <v>ECBBGB 23 Index</v>
      </c>
      <c r="BI11" s="6" t="str">
        <f t="shared" ca="1" si="11"/>
        <v>ECBBGB 24 Index</v>
      </c>
      <c r="BJ11" s="6" t="str">
        <f t="shared" ca="1" si="13"/>
        <v>ECBBGB 25 Index</v>
      </c>
      <c r="BK11" s="6" t="str">
        <f t="shared" ca="1" si="13"/>
        <v>ECBBGB 26 Index</v>
      </c>
      <c r="BL11" s="6" t="str">
        <f t="shared" ca="1" si="13"/>
        <v>ECBBGB 27 Index</v>
      </c>
    </row>
    <row r="12" spans="1:64" ht="18.75" customHeight="1" thickBot="1">
      <c r="A12" s="1" t="s">
        <v>34</v>
      </c>
      <c r="B12" s="1" t="s">
        <v>35</v>
      </c>
      <c r="C12" s="1" t="s">
        <v>11</v>
      </c>
      <c r="D12" s="1" t="s">
        <v>36</v>
      </c>
      <c r="E12" s="6" t="str">
        <f t="shared" ca="1" si="14"/>
        <v>ECGDSP 16 Index</v>
      </c>
      <c r="F12" s="6" t="str">
        <f t="shared" ca="1" si="7"/>
        <v>ECGDSP 17 Index</v>
      </c>
      <c r="G12" s="6" t="str">
        <f t="shared" ca="1" si="7"/>
        <v>ECGDSP 18 Index</v>
      </c>
      <c r="H12" s="6" t="str">
        <f t="shared" ca="1" si="7"/>
        <v>ECGDSP 19 Index</v>
      </c>
      <c r="I12" s="6" t="str">
        <f t="shared" ca="1" si="7"/>
        <v>ECGDSP 20 Index</v>
      </c>
      <c r="J12" s="6" t="str">
        <f t="shared" ca="1" si="7"/>
        <v>ECGDSP 21 Index</v>
      </c>
      <c r="K12" s="6" t="str">
        <f t="shared" ca="1" si="7"/>
        <v>ECGDSP 22 Index</v>
      </c>
      <c r="L12" s="6" t="str">
        <f t="shared" ca="1" si="7"/>
        <v>ECGDSP 23 Index</v>
      </c>
      <c r="M12" s="6" t="str">
        <f t="shared" ca="1" si="7"/>
        <v>ECGDSP 24 Index</v>
      </c>
      <c r="N12" s="6" t="str">
        <f t="shared" ca="1" si="7"/>
        <v>ECGDSP 25 Index</v>
      </c>
      <c r="O12" s="6" t="str">
        <f t="shared" ca="1" si="15"/>
        <v>ECGDSP 26 Index</v>
      </c>
      <c r="P12" s="6" t="str">
        <f t="shared" ca="1" si="15"/>
        <v>ECGDSP 27 Index</v>
      </c>
      <c r="Q12" s="6" t="str">
        <f t="shared" ca="1" si="7"/>
        <v>ECPISP 16 Index</v>
      </c>
      <c r="R12" s="6" t="str">
        <f t="shared" ca="1" si="7"/>
        <v>ECPISP 17 Index</v>
      </c>
      <c r="S12" s="6" t="str">
        <f t="shared" ca="1" si="7"/>
        <v>ECPISP 18 Index</v>
      </c>
      <c r="T12" s="6" t="str">
        <f t="shared" ca="1" si="7"/>
        <v>ECPISP 19 Index</v>
      </c>
      <c r="U12" s="6" t="str">
        <f t="shared" ca="1" si="7"/>
        <v>ECPISP 20 Index</v>
      </c>
      <c r="V12" s="6" t="str">
        <f t="shared" ca="1" si="7"/>
        <v>ECPISP 21 Index</v>
      </c>
      <c r="W12" s="6" t="str">
        <f t="shared" ca="1" si="7"/>
        <v>ECPISP 22 Index</v>
      </c>
      <c r="X12" s="6" t="str">
        <f t="shared" ca="1" si="8"/>
        <v>ECPISP 23 Index</v>
      </c>
      <c r="Y12" s="6" t="str">
        <f t="shared" ca="1" si="8"/>
        <v>ECPISP 24 Index</v>
      </c>
      <c r="Z12" s="6" t="str">
        <f t="shared" ca="1" si="8"/>
        <v>ECPISP 25 Index</v>
      </c>
      <c r="AA12" s="6" t="str">
        <f t="shared" ca="1" si="9"/>
        <v>ECPISP 26 Index</v>
      </c>
      <c r="AB12" s="6" t="str">
        <f t="shared" ca="1" si="9"/>
        <v>ECPISP 27 Index</v>
      </c>
      <c r="AC12" s="6" t="str">
        <f t="shared" ca="1" si="8"/>
        <v>ECUPSP 16 Index</v>
      </c>
      <c r="AD12" s="6" t="str">
        <f t="shared" ca="1" si="8"/>
        <v>ECUPSP 17 Index</v>
      </c>
      <c r="AE12" s="6" t="str">
        <f t="shared" ca="1" si="8"/>
        <v>ECUPSP 18 Index</v>
      </c>
      <c r="AF12" s="6" t="str">
        <f t="shared" ca="1" si="8"/>
        <v>ECUPSP 19 Index</v>
      </c>
      <c r="AG12" s="6" t="str">
        <f t="shared" ca="1" si="8"/>
        <v>ECUPSP 20 Index</v>
      </c>
      <c r="AH12" s="6" t="str">
        <f t="shared" ca="1" si="8"/>
        <v>ECUPSP 21 Index</v>
      </c>
      <c r="AI12" s="6" t="str">
        <f t="shared" ca="1" si="8"/>
        <v>ECUPSP 22 Index</v>
      </c>
      <c r="AJ12" s="6" t="str">
        <f t="shared" ca="1" si="8"/>
        <v>ECUPSP 23 Index</v>
      </c>
      <c r="AK12" s="6" t="str">
        <f t="shared" ca="1" si="8"/>
        <v>ECUPSP 24 Index</v>
      </c>
      <c r="AL12" s="6" t="str">
        <f t="shared" ca="1" si="8"/>
        <v>ECUPSP 25 Index</v>
      </c>
      <c r="AM12" s="6" t="str">
        <f t="shared" ca="1" si="10"/>
        <v>ECUPSP 26 Index</v>
      </c>
      <c r="AN12" s="6" t="str">
        <f t="shared" ca="1" si="10"/>
        <v>ECUPSP 27 Index</v>
      </c>
      <c r="AO12" s="6" t="str">
        <f t="shared" ca="1" si="8"/>
        <v>ECCASP 16 Index</v>
      </c>
      <c r="AP12" s="6" t="str">
        <f t="shared" ca="1" si="8"/>
        <v>ECCASP 17 Index</v>
      </c>
      <c r="AQ12" s="6" t="str">
        <f t="shared" ca="1" si="8"/>
        <v>ECCASP 18 Index</v>
      </c>
      <c r="AR12" s="6" t="str">
        <f t="shared" ca="1" si="11"/>
        <v>ECCASP 19 Index</v>
      </c>
      <c r="AS12" s="6" t="str">
        <f t="shared" ca="1" si="11"/>
        <v>ECCASP 20 Index</v>
      </c>
      <c r="AT12" s="6" t="str">
        <f t="shared" ca="1" si="11"/>
        <v>ECCASP 21 Index</v>
      </c>
      <c r="AU12" s="6" t="str">
        <f t="shared" ca="1" si="11"/>
        <v>ECCASP 22 Index</v>
      </c>
      <c r="AV12" s="6" t="str">
        <f t="shared" ca="1" si="11"/>
        <v>ECCASP 23 Index</v>
      </c>
      <c r="AW12" s="6" t="str">
        <f t="shared" ca="1" si="11"/>
        <v>ECCASP 24 Index</v>
      </c>
      <c r="AX12" s="6" t="str">
        <f t="shared" ca="1" si="11"/>
        <v>ECCASP 25 Index</v>
      </c>
      <c r="AY12" s="6" t="str">
        <f t="shared" ca="1" si="12"/>
        <v>ECCASP 26 Index</v>
      </c>
      <c r="AZ12" s="6" t="str">
        <f t="shared" ca="1" si="12"/>
        <v>ECCASP 27 Index</v>
      </c>
      <c r="BA12" s="6" t="str">
        <f t="shared" ca="1" si="11"/>
        <v>ECBBSP 16 Index</v>
      </c>
      <c r="BB12" s="6" t="str">
        <f t="shared" ca="1" si="11"/>
        <v>ECBBSP 17 Index</v>
      </c>
      <c r="BC12" s="6" t="str">
        <f t="shared" ca="1" si="11"/>
        <v>ECBBSP 18 Index</v>
      </c>
      <c r="BD12" s="6" t="str">
        <f t="shared" ca="1" si="11"/>
        <v>ECBBSP 19 Index</v>
      </c>
      <c r="BE12" s="6" t="str">
        <f t="shared" ca="1" si="11"/>
        <v>ECBBSP 20 Index</v>
      </c>
      <c r="BF12" s="6" t="str">
        <f t="shared" ca="1" si="11"/>
        <v>ECBBSP 21 Index</v>
      </c>
      <c r="BG12" s="6" t="str">
        <f t="shared" ca="1" si="11"/>
        <v>ECBBSP 22 Index</v>
      </c>
      <c r="BH12" s="6" t="str">
        <f t="shared" ca="1" si="11"/>
        <v>ECBBSP 23 Index</v>
      </c>
      <c r="BI12" s="6" t="str">
        <f t="shared" ca="1" si="11"/>
        <v>ECBBSP 24 Index</v>
      </c>
      <c r="BJ12" s="6" t="str">
        <f t="shared" ca="1" si="13"/>
        <v>ECBBSP 25 Index</v>
      </c>
      <c r="BK12" s="6" t="str">
        <f t="shared" ca="1" si="13"/>
        <v>ECBBSP 26 Index</v>
      </c>
      <c r="BL12" s="6" t="str">
        <f t="shared" ca="1" si="13"/>
        <v>ECBBSP 27 Index</v>
      </c>
    </row>
    <row r="13" spans="1:64" ht="18.75" customHeight="1" thickBot="1">
      <c r="A13" s="1" t="s">
        <v>37</v>
      </c>
      <c r="B13" s="1" t="s">
        <v>37</v>
      </c>
      <c r="C13" s="1" t="s">
        <v>11</v>
      </c>
      <c r="D13" s="1" t="s">
        <v>258</v>
      </c>
      <c r="E13" s="6" t="str">
        <f t="shared" ca="1" si="14"/>
        <v>ECGDUS 16 Index</v>
      </c>
      <c r="F13" s="6" t="str">
        <f t="shared" ca="1" si="7"/>
        <v>ECGDUS 17 Index</v>
      </c>
      <c r="G13" s="6" t="str">
        <f t="shared" ca="1" si="7"/>
        <v>ECGDUS 18 Index</v>
      </c>
      <c r="H13" s="6" t="str">
        <f t="shared" ca="1" si="7"/>
        <v>ECGDUS 19 Index</v>
      </c>
      <c r="I13" s="6" t="str">
        <f t="shared" ca="1" si="7"/>
        <v>ECGDUS 20 Index</v>
      </c>
      <c r="J13" s="6" t="str">
        <f t="shared" ca="1" si="7"/>
        <v>ECGDUS 21 Index</v>
      </c>
      <c r="K13" s="6" t="str">
        <f t="shared" ca="1" si="7"/>
        <v>ECGDUS 22 Index</v>
      </c>
      <c r="L13" s="6" t="str">
        <f t="shared" ca="1" si="7"/>
        <v>ECGDUS 23 Index</v>
      </c>
      <c r="M13" s="6" t="str">
        <f t="shared" ca="1" si="7"/>
        <v>ECGDUS 24 Index</v>
      </c>
      <c r="N13" s="6" t="str">
        <f t="shared" ca="1" si="7"/>
        <v>ECGDUS 25 Index</v>
      </c>
      <c r="O13" s="6" t="str">
        <f t="shared" ca="1" si="15"/>
        <v>ECGDUS 26 Index</v>
      </c>
      <c r="P13" s="6" t="str">
        <f t="shared" ca="1" si="15"/>
        <v>ECGDUS 27 Index</v>
      </c>
      <c r="Q13" s="6" t="str">
        <f t="shared" ca="1" si="7"/>
        <v>ECPIUS 16 Index</v>
      </c>
      <c r="R13" s="6" t="str">
        <f t="shared" ca="1" si="7"/>
        <v>ECPIUS 17 Index</v>
      </c>
      <c r="S13" s="6" t="str">
        <f t="shared" ca="1" si="7"/>
        <v>ECPIUS 18 Index</v>
      </c>
      <c r="T13" s="6" t="str">
        <f t="shared" ca="1" si="7"/>
        <v>ECPIUS 19 Index</v>
      </c>
      <c r="U13" s="6" t="str">
        <f t="shared" ca="1" si="7"/>
        <v>ECPIUS 20 Index</v>
      </c>
      <c r="V13" s="6" t="str">
        <f t="shared" ca="1" si="7"/>
        <v>ECPIUS 21 Index</v>
      </c>
      <c r="W13" s="6" t="str">
        <f t="shared" ca="1" si="7"/>
        <v>ECPIUS 22 Index</v>
      </c>
      <c r="X13" s="6" t="str">
        <f t="shared" ca="1" si="8"/>
        <v>ECPIUS 23 Index</v>
      </c>
      <c r="Y13" s="6" t="str">
        <f t="shared" ca="1" si="8"/>
        <v>ECPIUS 24 Index</v>
      </c>
      <c r="Z13" s="6" t="str">
        <f t="shared" ca="1" si="8"/>
        <v>ECPIUS 25 Index</v>
      </c>
      <c r="AA13" s="6" t="str">
        <f t="shared" ca="1" si="9"/>
        <v>ECPIUS 26 Index</v>
      </c>
      <c r="AB13" s="6" t="str">
        <f t="shared" ca="1" si="9"/>
        <v>ECPIUS 27 Index</v>
      </c>
      <c r="AC13" s="6" t="str">
        <f t="shared" ca="1" si="8"/>
        <v>ECUPUS 16 Index</v>
      </c>
      <c r="AD13" s="6" t="str">
        <f t="shared" ca="1" si="8"/>
        <v>ECUPUS 17 Index</v>
      </c>
      <c r="AE13" s="6" t="str">
        <f t="shared" ca="1" si="8"/>
        <v>ECUPUS 18 Index</v>
      </c>
      <c r="AF13" s="6" t="str">
        <f t="shared" ca="1" si="8"/>
        <v>ECUPUS 19 Index</v>
      </c>
      <c r="AG13" s="6" t="str">
        <f t="shared" ca="1" si="8"/>
        <v>ECUPUS 20 Index</v>
      </c>
      <c r="AH13" s="6" t="str">
        <f t="shared" ca="1" si="8"/>
        <v>ECUPUS 21 Index</v>
      </c>
      <c r="AI13" s="6" t="str">
        <f t="shared" ca="1" si="8"/>
        <v>ECUPUS 22 Index</v>
      </c>
      <c r="AJ13" s="6" t="str">
        <f t="shared" ca="1" si="8"/>
        <v>ECUPUS 23 Index</v>
      </c>
      <c r="AK13" s="6" t="str">
        <f t="shared" ca="1" si="8"/>
        <v>ECUPUS 24 Index</v>
      </c>
      <c r="AL13" s="6" t="str">
        <f t="shared" ca="1" si="8"/>
        <v>ECUPUS 25 Index</v>
      </c>
      <c r="AM13" s="6" t="str">
        <f t="shared" ca="1" si="10"/>
        <v>ECUPUS 26 Index</v>
      </c>
      <c r="AN13" s="6" t="str">
        <f t="shared" ca="1" si="10"/>
        <v>ECUPUS 27 Index</v>
      </c>
      <c r="AO13" s="6" t="str">
        <f t="shared" ca="1" si="8"/>
        <v>ECCAUS 16 Index</v>
      </c>
      <c r="AP13" s="6" t="str">
        <f t="shared" ca="1" si="8"/>
        <v>ECCAUS 17 Index</v>
      </c>
      <c r="AQ13" s="6" t="str">
        <f t="shared" ca="1" si="8"/>
        <v>ECCAUS 18 Index</v>
      </c>
      <c r="AR13" s="6" t="str">
        <f t="shared" ca="1" si="11"/>
        <v>ECCAUS 19 Index</v>
      </c>
      <c r="AS13" s="6" t="str">
        <f t="shared" ca="1" si="11"/>
        <v>ECCAUS 20 Index</v>
      </c>
      <c r="AT13" s="6" t="str">
        <f t="shared" ca="1" si="11"/>
        <v>ECCAUS 21 Index</v>
      </c>
      <c r="AU13" s="6" t="str">
        <f t="shared" ca="1" si="11"/>
        <v>ECCAUS 22 Index</v>
      </c>
      <c r="AV13" s="6" t="str">
        <f t="shared" ca="1" si="11"/>
        <v>ECCAUS 23 Index</v>
      </c>
      <c r="AW13" s="6" t="str">
        <f t="shared" ca="1" si="11"/>
        <v>ECCAUS 24 Index</v>
      </c>
      <c r="AX13" s="6" t="str">
        <f t="shared" ca="1" si="11"/>
        <v>ECCAUS 25 Index</v>
      </c>
      <c r="AY13" s="6" t="str">
        <f t="shared" ca="1" si="12"/>
        <v>ECCAUS 26 Index</v>
      </c>
      <c r="AZ13" s="6" t="str">
        <f t="shared" ca="1" si="12"/>
        <v>ECCAUS 27 Index</v>
      </c>
      <c r="BA13" s="6" t="str">
        <f t="shared" ca="1" si="11"/>
        <v>ECBBUS 16 Index</v>
      </c>
      <c r="BB13" s="6" t="str">
        <f t="shared" ca="1" si="11"/>
        <v>ECBBUS 17 Index</v>
      </c>
      <c r="BC13" s="6" t="str">
        <f t="shared" ca="1" si="11"/>
        <v>ECBBUS 18 Index</v>
      </c>
      <c r="BD13" s="6" t="str">
        <f t="shared" ca="1" si="11"/>
        <v>ECBBUS 19 Index</v>
      </c>
      <c r="BE13" s="6" t="str">
        <f t="shared" ca="1" si="11"/>
        <v>ECBBUS 20 Index</v>
      </c>
      <c r="BF13" s="6" t="str">
        <f t="shared" ca="1" si="11"/>
        <v>ECBBUS 21 Index</v>
      </c>
      <c r="BG13" s="6" t="str">
        <f t="shared" ca="1" si="11"/>
        <v>ECBBUS 22 Index</v>
      </c>
      <c r="BH13" s="6" t="str">
        <f t="shared" ca="1" si="11"/>
        <v>ECBBUS 23 Index</v>
      </c>
      <c r="BI13" s="6" t="str">
        <f t="shared" ca="1" si="11"/>
        <v>ECBBUS 24 Index</v>
      </c>
      <c r="BJ13" s="6" t="str">
        <f t="shared" ca="1" si="13"/>
        <v>ECBBUS 25 Index</v>
      </c>
      <c r="BK13" s="6" t="str">
        <f t="shared" ca="1" si="13"/>
        <v>ECBBUS 26 Index</v>
      </c>
      <c r="BL13" s="6" t="str">
        <f t="shared" ca="1" si="13"/>
        <v>ECBBUS 27 Index</v>
      </c>
    </row>
    <row r="14" spans="1:64" ht="18.75" customHeight="1" thickBot="1">
      <c r="A14" s="1" t="s">
        <v>3</v>
      </c>
      <c r="B14" s="1" t="s">
        <v>38</v>
      </c>
      <c r="C14" s="1" t="s">
        <v>11</v>
      </c>
      <c r="D14" s="1" t="s">
        <v>39</v>
      </c>
      <c r="E14" s="6" t="str">
        <f t="shared" ca="1" si="14"/>
        <v>ECGDCA 16 Index</v>
      </c>
      <c r="F14" s="6" t="str">
        <f t="shared" ca="1" si="7"/>
        <v>ECGDCA 17 Index</v>
      </c>
      <c r="G14" s="6" t="str">
        <f t="shared" ca="1" si="7"/>
        <v>ECGDCA 18 Index</v>
      </c>
      <c r="H14" s="6" t="str">
        <f t="shared" ca="1" si="7"/>
        <v>ECGDCA 19 Index</v>
      </c>
      <c r="I14" s="6" t="str">
        <f t="shared" ca="1" si="7"/>
        <v>ECGDCA 20 Index</v>
      </c>
      <c r="J14" s="6" t="str">
        <f t="shared" ca="1" si="7"/>
        <v>ECGDCA 21 Index</v>
      </c>
      <c r="K14" s="6" t="str">
        <f t="shared" ca="1" si="7"/>
        <v>ECGDCA 22 Index</v>
      </c>
      <c r="L14" s="6" t="str">
        <f t="shared" ca="1" si="7"/>
        <v>ECGDCA 23 Index</v>
      </c>
      <c r="M14" s="6" t="str">
        <f t="shared" ca="1" si="7"/>
        <v>ECGDCA 24 Index</v>
      </c>
      <c r="N14" s="6" t="str">
        <f t="shared" ca="1" si="7"/>
        <v>ECGDCA 25 Index</v>
      </c>
      <c r="O14" s="6" t="str">
        <f t="shared" ca="1" si="15"/>
        <v>ECGDCA 26 Index</v>
      </c>
      <c r="P14" s="6" t="str">
        <f t="shared" ca="1" si="15"/>
        <v>ECGDCA 27 Index</v>
      </c>
      <c r="Q14" s="6" t="str">
        <f t="shared" ca="1" si="7"/>
        <v>ECPICA 16 Index</v>
      </c>
      <c r="R14" s="6" t="str">
        <f t="shared" ca="1" si="7"/>
        <v>ECPICA 17 Index</v>
      </c>
      <c r="S14" s="6" t="str">
        <f t="shared" ca="1" si="7"/>
        <v>ECPICA 18 Index</v>
      </c>
      <c r="T14" s="6" t="str">
        <f t="shared" ca="1" si="7"/>
        <v>ECPICA 19 Index</v>
      </c>
      <c r="U14" s="6" t="str">
        <f t="shared" ca="1" si="7"/>
        <v>ECPICA 20 Index</v>
      </c>
      <c r="V14" s="6" t="str">
        <f t="shared" ca="1" si="7"/>
        <v>ECPICA 21 Index</v>
      </c>
      <c r="W14" s="6" t="str">
        <f t="shared" ca="1" si="7"/>
        <v>ECPICA 22 Index</v>
      </c>
      <c r="X14" s="6" t="str">
        <f t="shared" ca="1" si="8"/>
        <v>ECPICA 23 Index</v>
      </c>
      <c r="Y14" s="6" t="str">
        <f t="shared" ca="1" si="8"/>
        <v>ECPICA 24 Index</v>
      </c>
      <c r="Z14" s="6" t="str">
        <f t="shared" ca="1" si="8"/>
        <v>ECPICA 25 Index</v>
      </c>
      <c r="AA14" s="6" t="str">
        <f t="shared" ca="1" si="9"/>
        <v>ECPICA 26 Index</v>
      </c>
      <c r="AB14" s="6" t="str">
        <f t="shared" ca="1" si="9"/>
        <v>ECPICA 27 Index</v>
      </c>
      <c r="AC14" s="6" t="str">
        <f t="shared" ca="1" si="8"/>
        <v>ECUPCA 16 Index</v>
      </c>
      <c r="AD14" s="6" t="str">
        <f t="shared" ca="1" si="8"/>
        <v>ECUPCA 17 Index</v>
      </c>
      <c r="AE14" s="6" t="str">
        <f t="shared" ca="1" si="8"/>
        <v>ECUPCA 18 Index</v>
      </c>
      <c r="AF14" s="6" t="str">
        <f t="shared" ca="1" si="8"/>
        <v>ECUPCA 19 Index</v>
      </c>
      <c r="AG14" s="6" t="str">
        <f t="shared" ca="1" si="8"/>
        <v>ECUPCA 20 Index</v>
      </c>
      <c r="AH14" s="6" t="str">
        <f t="shared" ca="1" si="8"/>
        <v>ECUPCA 21 Index</v>
      </c>
      <c r="AI14" s="6" t="str">
        <f t="shared" ca="1" si="8"/>
        <v>ECUPCA 22 Index</v>
      </c>
      <c r="AJ14" s="6" t="str">
        <f t="shared" ca="1" si="8"/>
        <v>ECUPCA 23 Index</v>
      </c>
      <c r="AK14" s="6" t="str">
        <f t="shared" ca="1" si="8"/>
        <v>ECUPCA 24 Index</v>
      </c>
      <c r="AL14" s="6" t="str">
        <f t="shared" ca="1" si="8"/>
        <v>ECUPCA 25 Index</v>
      </c>
      <c r="AM14" s="6" t="str">
        <f t="shared" ca="1" si="10"/>
        <v>ECUPCA 26 Index</v>
      </c>
      <c r="AN14" s="6" t="str">
        <f t="shared" ca="1" si="10"/>
        <v>ECUPCA 27 Index</v>
      </c>
      <c r="AO14" s="6" t="str">
        <f t="shared" ca="1" si="8"/>
        <v>ECCACA 16 Index</v>
      </c>
      <c r="AP14" s="6" t="str">
        <f t="shared" ca="1" si="8"/>
        <v>ECCACA 17 Index</v>
      </c>
      <c r="AQ14" s="6" t="str">
        <f t="shared" ca="1" si="8"/>
        <v>ECCACA 18 Index</v>
      </c>
      <c r="AR14" s="6" t="str">
        <f t="shared" ca="1" si="11"/>
        <v>ECCACA 19 Index</v>
      </c>
      <c r="AS14" s="6" t="str">
        <f t="shared" ca="1" si="11"/>
        <v>ECCACA 20 Index</v>
      </c>
      <c r="AT14" s="6" t="str">
        <f t="shared" ca="1" si="11"/>
        <v>ECCACA 21 Index</v>
      </c>
      <c r="AU14" s="6" t="str">
        <f t="shared" ca="1" si="11"/>
        <v>ECCACA 22 Index</v>
      </c>
      <c r="AV14" s="6" t="str">
        <f t="shared" ca="1" si="11"/>
        <v>ECCACA 23 Index</v>
      </c>
      <c r="AW14" s="6" t="str">
        <f t="shared" ca="1" si="11"/>
        <v>ECCACA 24 Index</v>
      </c>
      <c r="AX14" s="6" t="str">
        <f t="shared" ca="1" si="11"/>
        <v>ECCACA 25 Index</v>
      </c>
      <c r="AY14" s="6" t="str">
        <f t="shared" ca="1" si="12"/>
        <v>ECCACA 26 Index</v>
      </c>
      <c r="AZ14" s="6" t="str">
        <f t="shared" ca="1" si="12"/>
        <v>ECCACA 27 Index</v>
      </c>
      <c r="BA14" s="6" t="str">
        <f t="shared" ca="1" si="11"/>
        <v>ECBBCA 16 Index</v>
      </c>
      <c r="BB14" s="6" t="str">
        <f t="shared" ca="1" si="11"/>
        <v>ECBBCA 17 Index</v>
      </c>
      <c r="BC14" s="6" t="str">
        <f t="shared" ca="1" si="11"/>
        <v>ECBBCA 18 Index</v>
      </c>
      <c r="BD14" s="6" t="str">
        <f t="shared" ca="1" si="11"/>
        <v>ECBBCA 19 Index</v>
      </c>
      <c r="BE14" s="6" t="str">
        <f t="shared" ca="1" si="11"/>
        <v>ECBBCA 20 Index</v>
      </c>
      <c r="BF14" s="6" t="str">
        <f t="shared" ca="1" si="11"/>
        <v>ECBBCA 21 Index</v>
      </c>
      <c r="BG14" s="6" t="str">
        <f t="shared" ca="1" si="11"/>
        <v>ECBBCA 22 Index</v>
      </c>
      <c r="BH14" s="6" t="str">
        <f t="shared" ca="1" si="11"/>
        <v>ECBBCA 23 Index</v>
      </c>
      <c r="BI14" s="6" t="str">
        <f t="shared" ca="1" si="11"/>
        <v>ECBBCA 24 Index</v>
      </c>
      <c r="BJ14" s="6" t="str">
        <f t="shared" ca="1" si="13"/>
        <v>ECBBCA 25 Index</v>
      </c>
      <c r="BK14" s="6" t="str">
        <f t="shared" ca="1" si="13"/>
        <v>ECBBCA 26 Index</v>
      </c>
      <c r="BL14" s="6" t="str">
        <f t="shared" ca="1" si="13"/>
        <v>ECBBCA 27 Index</v>
      </c>
    </row>
    <row r="15" spans="1:64" ht="18.75" customHeight="1" thickBot="1">
      <c r="A15" s="1" t="s">
        <v>40</v>
      </c>
      <c r="B15" s="1" t="s">
        <v>41</v>
      </c>
      <c r="C15" s="1" t="s">
        <v>11</v>
      </c>
      <c r="D15" s="1" t="s">
        <v>42</v>
      </c>
      <c r="E15" s="6" t="str">
        <f t="shared" ca="1" si="14"/>
        <v>ECGDAU 16 Index</v>
      </c>
      <c r="F15" s="6" t="str">
        <f t="shared" ca="1" si="7"/>
        <v>ECGDAU 17 Index</v>
      </c>
      <c r="G15" s="6" t="str">
        <f t="shared" ca="1" si="7"/>
        <v>ECGDAU 18 Index</v>
      </c>
      <c r="H15" s="6" t="str">
        <f t="shared" ca="1" si="7"/>
        <v>ECGDAU 19 Index</v>
      </c>
      <c r="I15" s="6" t="str">
        <f t="shared" ca="1" si="7"/>
        <v>ECGDAU 20 Index</v>
      </c>
      <c r="J15" s="6" t="str">
        <f t="shared" ca="1" si="7"/>
        <v>ECGDAU 21 Index</v>
      </c>
      <c r="K15" s="6" t="str">
        <f t="shared" ca="1" si="7"/>
        <v>ECGDAU 22 Index</v>
      </c>
      <c r="L15" s="6" t="str">
        <f t="shared" ca="1" si="7"/>
        <v>ECGDAU 23 Index</v>
      </c>
      <c r="M15" s="6" t="str">
        <f t="shared" ca="1" si="7"/>
        <v>ECGDAU 24 Index</v>
      </c>
      <c r="N15" s="6" t="str">
        <f t="shared" ca="1" si="7"/>
        <v>ECGDAU 25 Index</v>
      </c>
      <c r="O15" s="6" t="str">
        <f t="shared" ca="1" si="15"/>
        <v>ECGDAU 26 Index</v>
      </c>
      <c r="P15" s="6" t="str">
        <f t="shared" ca="1" si="15"/>
        <v>ECGDAU 27 Index</v>
      </c>
      <c r="Q15" s="6" t="str">
        <f t="shared" ca="1" si="7"/>
        <v>ECPIAU 16 Index</v>
      </c>
      <c r="R15" s="6" t="str">
        <f t="shared" ca="1" si="7"/>
        <v>ECPIAU 17 Index</v>
      </c>
      <c r="S15" s="6" t="str">
        <f t="shared" ca="1" si="7"/>
        <v>ECPIAU 18 Index</v>
      </c>
      <c r="T15" s="6" t="str">
        <f t="shared" ca="1" si="7"/>
        <v>ECPIAU 19 Index</v>
      </c>
      <c r="U15" s="6" t="str">
        <f t="shared" ca="1" si="7"/>
        <v>ECPIAU 20 Index</v>
      </c>
      <c r="V15" s="6" t="str">
        <f t="shared" ca="1" si="7"/>
        <v>ECPIAU 21 Index</v>
      </c>
      <c r="W15" s="6" t="str">
        <f t="shared" ca="1" si="7"/>
        <v>ECPIAU 22 Index</v>
      </c>
      <c r="X15" s="6" t="str">
        <f t="shared" ca="1" si="8"/>
        <v>ECPIAU 23 Index</v>
      </c>
      <c r="Y15" s="6" t="str">
        <f t="shared" ca="1" si="8"/>
        <v>ECPIAU 24 Index</v>
      </c>
      <c r="Z15" s="6" t="str">
        <f t="shared" ca="1" si="8"/>
        <v>ECPIAU 25 Index</v>
      </c>
      <c r="AA15" s="6" t="str">
        <f t="shared" ca="1" si="9"/>
        <v>ECPIAU 26 Index</v>
      </c>
      <c r="AB15" s="6" t="str">
        <f t="shared" ca="1" si="9"/>
        <v>ECPIAU 27 Index</v>
      </c>
      <c r="AC15" s="6" t="str">
        <f t="shared" ca="1" si="8"/>
        <v>ECUPAU 16 Index</v>
      </c>
      <c r="AD15" s="6" t="str">
        <f t="shared" ca="1" si="8"/>
        <v>ECUPAU 17 Index</v>
      </c>
      <c r="AE15" s="6" t="str">
        <f t="shared" ca="1" si="8"/>
        <v>ECUPAU 18 Index</v>
      </c>
      <c r="AF15" s="6" t="str">
        <f t="shared" ca="1" si="8"/>
        <v>ECUPAU 19 Index</v>
      </c>
      <c r="AG15" s="6" t="str">
        <f t="shared" ca="1" si="8"/>
        <v>ECUPAU 20 Index</v>
      </c>
      <c r="AH15" s="6" t="str">
        <f t="shared" ca="1" si="8"/>
        <v>ECUPAU 21 Index</v>
      </c>
      <c r="AI15" s="6" t="str">
        <f t="shared" ca="1" si="8"/>
        <v>ECUPAU 22 Index</v>
      </c>
      <c r="AJ15" s="6" t="str">
        <f t="shared" ca="1" si="8"/>
        <v>ECUPAU 23 Index</v>
      </c>
      <c r="AK15" s="6" t="str">
        <f t="shared" ca="1" si="8"/>
        <v>ECUPAU 24 Index</v>
      </c>
      <c r="AL15" s="6" t="str">
        <f t="shared" ca="1" si="8"/>
        <v>ECUPAU 25 Index</v>
      </c>
      <c r="AM15" s="6" t="str">
        <f t="shared" ca="1" si="10"/>
        <v>ECUPAU 26 Index</v>
      </c>
      <c r="AN15" s="6" t="str">
        <f t="shared" ca="1" si="10"/>
        <v>ECUPAU 27 Index</v>
      </c>
      <c r="AO15" s="6" t="str">
        <f t="shared" ca="1" si="8"/>
        <v>ECCAAU 16 Index</v>
      </c>
      <c r="AP15" s="6" t="str">
        <f t="shared" ca="1" si="8"/>
        <v>ECCAAU 17 Index</v>
      </c>
      <c r="AQ15" s="6" t="str">
        <f t="shared" ca="1" si="8"/>
        <v>ECCAAU 18 Index</v>
      </c>
      <c r="AR15" s="6" t="str">
        <f t="shared" ca="1" si="11"/>
        <v>ECCAAU 19 Index</v>
      </c>
      <c r="AS15" s="6" t="str">
        <f t="shared" ca="1" si="11"/>
        <v>ECCAAU 20 Index</v>
      </c>
      <c r="AT15" s="6" t="str">
        <f t="shared" ca="1" si="11"/>
        <v>ECCAAU 21 Index</v>
      </c>
      <c r="AU15" s="6" t="str">
        <f t="shared" ca="1" si="11"/>
        <v>ECCAAU 22 Index</v>
      </c>
      <c r="AV15" s="6" t="str">
        <f t="shared" ca="1" si="11"/>
        <v>ECCAAU 23 Index</v>
      </c>
      <c r="AW15" s="6" t="str">
        <f t="shared" ca="1" si="11"/>
        <v>ECCAAU 24 Index</v>
      </c>
      <c r="AX15" s="6" t="str">
        <f t="shared" ca="1" si="11"/>
        <v>ECCAAU 25 Index</v>
      </c>
      <c r="AY15" s="6" t="str">
        <f t="shared" ca="1" si="12"/>
        <v>ECCAAU 26 Index</v>
      </c>
      <c r="AZ15" s="6" t="str">
        <f t="shared" ca="1" si="12"/>
        <v>ECCAAU 27 Index</v>
      </c>
      <c r="BA15" s="6" t="str">
        <f t="shared" ca="1" si="11"/>
        <v>ECBBAU 16 Index</v>
      </c>
      <c r="BB15" s="6" t="str">
        <f t="shared" ca="1" si="11"/>
        <v>ECBBAU 17 Index</v>
      </c>
      <c r="BC15" s="6" t="str">
        <f t="shared" ca="1" si="11"/>
        <v>ECBBAU 18 Index</v>
      </c>
      <c r="BD15" s="6" t="str">
        <f t="shared" ca="1" si="11"/>
        <v>ECBBAU 19 Index</v>
      </c>
      <c r="BE15" s="6" t="str">
        <f t="shared" ca="1" si="11"/>
        <v>ECBBAU 20 Index</v>
      </c>
      <c r="BF15" s="6" t="str">
        <f t="shared" ca="1" si="11"/>
        <v>ECBBAU 21 Index</v>
      </c>
      <c r="BG15" s="6" t="str">
        <f t="shared" ca="1" si="11"/>
        <v>ECBBAU 22 Index</v>
      </c>
      <c r="BH15" s="6" t="str">
        <f t="shared" ca="1" si="11"/>
        <v>ECBBAU 23 Index</v>
      </c>
      <c r="BI15" s="6" t="str">
        <f t="shared" ca="1" si="11"/>
        <v>ECBBAU 24 Index</v>
      </c>
      <c r="BJ15" s="6" t="str">
        <f t="shared" ca="1" si="13"/>
        <v>ECBBAU 25 Index</v>
      </c>
      <c r="BK15" s="6" t="str">
        <f t="shared" ca="1" si="13"/>
        <v>ECBBAU 26 Index</v>
      </c>
      <c r="BL15" s="6" t="str">
        <f t="shared" ca="1" si="13"/>
        <v>ECBBAU 27 Index</v>
      </c>
    </row>
    <row r="16" spans="1:64" ht="18.75" customHeight="1" thickBot="1">
      <c r="A16" s="1" t="s">
        <v>43</v>
      </c>
      <c r="B16" s="1" t="s">
        <v>44</v>
      </c>
      <c r="C16" s="1" t="s">
        <v>11</v>
      </c>
      <c r="D16" s="1" t="s">
        <v>259</v>
      </c>
      <c r="E16" s="6" t="str">
        <f t="shared" ca="1" si="14"/>
        <v>ECGDNZ 16 Index</v>
      </c>
      <c r="F16" s="6" t="str">
        <f t="shared" ca="1" si="7"/>
        <v>ECGDNZ 17 Index</v>
      </c>
      <c r="G16" s="6" t="str">
        <f t="shared" ca="1" si="7"/>
        <v>ECGDNZ 18 Index</v>
      </c>
      <c r="H16" s="6" t="str">
        <f t="shared" ca="1" si="7"/>
        <v>ECGDNZ 19 Index</v>
      </c>
      <c r="I16" s="6" t="str">
        <f t="shared" ca="1" si="7"/>
        <v>ECGDNZ 20 Index</v>
      </c>
      <c r="J16" s="6" t="str">
        <f t="shared" ca="1" si="7"/>
        <v>ECGDNZ 21 Index</v>
      </c>
      <c r="K16" s="6" t="str">
        <f t="shared" ca="1" si="7"/>
        <v>ECGDNZ 22 Index</v>
      </c>
      <c r="L16" s="6" t="str">
        <f t="shared" ca="1" si="7"/>
        <v>ECGDNZ 23 Index</v>
      </c>
      <c r="M16" s="6" t="str">
        <f t="shared" ca="1" si="7"/>
        <v>ECGDNZ 24 Index</v>
      </c>
      <c r="N16" s="6" t="str">
        <f t="shared" ca="1" si="7"/>
        <v>ECGDNZ 25 Index</v>
      </c>
      <c r="O16" s="6" t="str">
        <f t="shared" ca="1" si="15"/>
        <v>ECGDNZ 26 Index</v>
      </c>
      <c r="P16" s="6" t="str">
        <f t="shared" ca="1" si="15"/>
        <v>ECGDNZ 27 Index</v>
      </c>
      <c r="Q16" s="6" t="str">
        <f t="shared" ca="1" si="7"/>
        <v>ECPINZ 16 Index</v>
      </c>
      <c r="R16" s="6" t="str">
        <f t="shared" ca="1" si="7"/>
        <v>ECPINZ 17 Index</v>
      </c>
      <c r="S16" s="6" t="str">
        <f t="shared" ca="1" si="7"/>
        <v>ECPINZ 18 Index</v>
      </c>
      <c r="T16" s="6" t="str">
        <f t="shared" ca="1" si="7"/>
        <v>ECPINZ 19 Index</v>
      </c>
      <c r="U16" s="6" t="str">
        <f t="shared" ca="1" si="7"/>
        <v>ECPINZ 20 Index</v>
      </c>
      <c r="V16" s="6" t="str">
        <f t="shared" ca="1" si="7"/>
        <v>ECPINZ 21 Index</v>
      </c>
      <c r="W16" s="6" t="str">
        <f t="shared" ca="1" si="7"/>
        <v>ECPINZ 22 Index</v>
      </c>
      <c r="X16" s="6" t="str">
        <f t="shared" ca="1" si="8"/>
        <v>ECPINZ 23 Index</v>
      </c>
      <c r="Y16" s="6" t="str">
        <f t="shared" ca="1" si="8"/>
        <v>ECPINZ 24 Index</v>
      </c>
      <c r="Z16" s="6" t="str">
        <f t="shared" ca="1" si="8"/>
        <v>ECPINZ 25 Index</v>
      </c>
      <c r="AA16" s="6" t="str">
        <f t="shared" ca="1" si="9"/>
        <v>ECPINZ 26 Index</v>
      </c>
      <c r="AB16" s="6" t="str">
        <f t="shared" ca="1" si="9"/>
        <v>ECPINZ 27 Index</v>
      </c>
      <c r="AC16" s="6" t="str">
        <f t="shared" ca="1" si="8"/>
        <v>ECUPNZ 16 Index</v>
      </c>
      <c r="AD16" s="6" t="str">
        <f t="shared" ca="1" si="8"/>
        <v>ECUPNZ 17 Index</v>
      </c>
      <c r="AE16" s="6" t="str">
        <f t="shared" ca="1" si="8"/>
        <v>ECUPNZ 18 Index</v>
      </c>
      <c r="AF16" s="6" t="str">
        <f t="shared" ca="1" si="8"/>
        <v>ECUPNZ 19 Index</v>
      </c>
      <c r="AG16" s="6" t="str">
        <f t="shared" ca="1" si="8"/>
        <v>ECUPNZ 20 Index</v>
      </c>
      <c r="AH16" s="6" t="str">
        <f t="shared" ca="1" si="8"/>
        <v>ECUPNZ 21 Index</v>
      </c>
      <c r="AI16" s="6" t="str">
        <f t="shared" ca="1" si="8"/>
        <v>ECUPNZ 22 Index</v>
      </c>
      <c r="AJ16" s="6" t="str">
        <f t="shared" ca="1" si="8"/>
        <v>ECUPNZ 23 Index</v>
      </c>
      <c r="AK16" s="6" t="str">
        <f t="shared" ca="1" si="8"/>
        <v>ECUPNZ 24 Index</v>
      </c>
      <c r="AL16" s="6" t="str">
        <f t="shared" ca="1" si="8"/>
        <v>ECUPNZ 25 Index</v>
      </c>
      <c r="AM16" s="6" t="str">
        <f t="shared" ca="1" si="10"/>
        <v>ECUPNZ 26 Index</v>
      </c>
      <c r="AN16" s="6" t="str">
        <f t="shared" ca="1" si="10"/>
        <v>ECUPNZ 27 Index</v>
      </c>
      <c r="AO16" s="6" t="str">
        <f t="shared" ca="1" si="8"/>
        <v>ECCANZ 16 Index</v>
      </c>
      <c r="AP16" s="6" t="str">
        <f t="shared" ca="1" si="8"/>
        <v>ECCANZ 17 Index</v>
      </c>
      <c r="AQ16" s="6" t="str">
        <f t="shared" ca="1" si="8"/>
        <v>ECCANZ 18 Index</v>
      </c>
      <c r="AR16" s="6" t="str">
        <f t="shared" ca="1" si="11"/>
        <v>ECCANZ 19 Index</v>
      </c>
      <c r="AS16" s="6" t="str">
        <f t="shared" ca="1" si="11"/>
        <v>ECCANZ 20 Index</v>
      </c>
      <c r="AT16" s="6" t="str">
        <f t="shared" ca="1" si="11"/>
        <v>ECCANZ 21 Index</v>
      </c>
      <c r="AU16" s="6" t="str">
        <f t="shared" ca="1" si="11"/>
        <v>ECCANZ 22 Index</v>
      </c>
      <c r="AV16" s="6" t="str">
        <f t="shared" ca="1" si="11"/>
        <v>ECCANZ 23 Index</v>
      </c>
      <c r="AW16" s="6" t="str">
        <f t="shared" ca="1" si="11"/>
        <v>ECCANZ 24 Index</v>
      </c>
      <c r="AX16" s="6" t="str">
        <f t="shared" ca="1" si="11"/>
        <v>ECCANZ 25 Index</v>
      </c>
      <c r="AY16" s="6" t="str">
        <f t="shared" ca="1" si="12"/>
        <v>ECCANZ 26 Index</v>
      </c>
      <c r="AZ16" s="6" t="str">
        <f t="shared" ca="1" si="12"/>
        <v>ECCANZ 27 Index</v>
      </c>
      <c r="BA16" s="6" t="str">
        <f t="shared" ca="1" si="11"/>
        <v>ECBBNZ 16 Index</v>
      </c>
      <c r="BB16" s="6" t="str">
        <f t="shared" ca="1" si="11"/>
        <v>ECBBNZ 17 Index</v>
      </c>
      <c r="BC16" s="6" t="str">
        <f t="shared" ca="1" si="11"/>
        <v>ECBBNZ 18 Index</v>
      </c>
      <c r="BD16" s="6" t="str">
        <f t="shared" ca="1" si="11"/>
        <v>ECBBNZ 19 Index</v>
      </c>
      <c r="BE16" s="6" t="str">
        <f t="shared" ca="1" si="11"/>
        <v>ECBBNZ 20 Index</v>
      </c>
      <c r="BF16" s="6" t="str">
        <f t="shared" ca="1" si="11"/>
        <v>ECBBNZ 21 Index</v>
      </c>
      <c r="BG16" s="6" t="str">
        <f t="shared" ca="1" si="11"/>
        <v>ECBBNZ 22 Index</v>
      </c>
      <c r="BH16" s="6" t="str">
        <f t="shared" ca="1" si="11"/>
        <v>ECBBNZ 23 Index</v>
      </c>
      <c r="BI16" s="6" t="str">
        <f t="shared" ca="1" si="11"/>
        <v>ECBBNZ 24 Index</v>
      </c>
      <c r="BJ16" s="6" t="str">
        <f t="shared" ca="1" si="13"/>
        <v>ECBBNZ 25 Index</v>
      </c>
      <c r="BK16" s="6" t="str">
        <f t="shared" ca="1" si="13"/>
        <v>ECBBNZ 26 Index</v>
      </c>
      <c r="BL16" s="6" t="str">
        <f t="shared" ca="1" si="13"/>
        <v>ECBBNZ 27 Index</v>
      </c>
    </row>
    <row r="17" spans="1:64" ht="18.75" customHeight="1" thickBot="1">
      <c r="A17" s="7" t="s">
        <v>45</v>
      </c>
      <c r="B17" s="7" t="s">
        <v>46</v>
      </c>
      <c r="C17" s="7" t="s">
        <v>11</v>
      </c>
      <c r="D17" s="7" t="s">
        <v>47</v>
      </c>
      <c r="E17" s="8" t="str">
        <f t="shared" ca="1" si="14"/>
        <v>ECGDCH 16 Index</v>
      </c>
      <c r="F17" s="8" t="str">
        <f t="shared" ca="1" si="7"/>
        <v>ECGDCH 17 Index</v>
      </c>
      <c r="G17" s="8" t="str">
        <f t="shared" ca="1" si="7"/>
        <v>ECGDCH 18 Index</v>
      </c>
      <c r="H17" s="8" t="str">
        <f t="shared" ca="1" si="7"/>
        <v>ECGDCH 19 Index</v>
      </c>
      <c r="I17" s="8" t="str">
        <f t="shared" ca="1" si="7"/>
        <v>ECGDCH 20 Index</v>
      </c>
      <c r="J17" s="8" t="str">
        <f t="shared" ca="1" si="7"/>
        <v>ECGDCH 21 Index</v>
      </c>
      <c r="K17" s="8" t="str">
        <f t="shared" ca="1" si="7"/>
        <v>ECGDCH 22 Index</v>
      </c>
      <c r="L17" s="8" t="str">
        <f t="shared" ca="1" si="7"/>
        <v>ECGDCH 23 Index</v>
      </c>
      <c r="M17" s="8" t="str">
        <f t="shared" ca="1" si="7"/>
        <v>ECGDCH 24 Index</v>
      </c>
      <c r="N17" s="8" t="str">
        <f t="shared" ca="1" si="7"/>
        <v>ECGDCH 25 Index</v>
      </c>
      <c r="O17" s="8" t="str">
        <f t="shared" ca="1" si="15"/>
        <v>ECGDCH 26 Index</v>
      </c>
      <c r="P17" s="8" t="str">
        <f t="shared" ca="1" si="15"/>
        <v>ECGDCH 27 Index</v>
      </c>
      <c r="Q17" s="8" t="str">
        <f t="shared" ca="1" si="7"/>
        <v>ECPICH 16 Index</v>
      </c>
      <c r="R17" s="8" t="str">
        <f t="shared" ca="1" si="7"/>
        <v>ECPICH 17 Index</v>
      </c>
      <c r="S17" s="8" t="str">
        <f t="shared" ca="1" si="7"/>
        <v>ECPICH 18 Index</v>
      </c>
      <c r="T17" s="6" t="str">
        <f t="shared" ca="1" si="7"/>
        <v>ECPICH 19 Index</v>
      </c>
      <c r="U17" s="8" t="str">
        <f t="shared" ca="1" si="7"/>
        <v>ECPICH 20 Index</v>
      </c>
      <c r="V17" s="8" t="str">
        <f t="shared" ca="1" si="7"/>
        <v>ECPICH 21 Index</v>
      </c>
      <c r="W17" s="8" t="str">
        <f t="shared" ca="1" si="7"/>
        <v>ECPICH 22 Index</v>
      </c>
      <c r="X17" s="8" t="str">
        <f t="shared" ca="1" si="8"/>
        <v>ECPICH 23 Index</v>
      </c>
      <c r="Y17" s="8" t="str">
        <f t="shared" ca="1" si="8"/>
        <v>ECPICH 24 Index</v>
      </c>
      <c r="Z17" s="8" t="str">
        <f t="shared" ca="1" si="8"/>
        <v>ECPICH 25 Index</v>
      </c>
      <c r="AA17" s="8" t="str">
        <f t="shared" ca="1" si="9"/>
        <v>ECPICH 26 Index</v>
      </c>
      <c r="AB17" s="8" t="str">
        <f t="shared" ca="1" si="9"/>
        <v>ECPICH 27 Index</v>
      </c>
      <c r="AC17" s="8" t="str">
        <f t="shared" ca="1" si="8"/>
        <v>ECUPCH 16 Index</v>
      </c>
      <c r="AD17" s="8" t="str">
        <f t="shared" ca="1" si="8"/>
        <v>ECUPCH 17 Index</v>
      </c>
      <c r="AE17" s="8" t="str">
        <f t="shared" ca="1" si="8"/>
        <v>ECUPCH 18 Index</v>
      </c>
      <c r="AF17" s="8" t="str">
        <f t="shared" ca="1" si="8"/>
        <v>ECUPCH 19 Index</v>
      </c>
      <c r="AG17" s="8" t="str">
        <f t="shared" ca="1" si="8"/>
        <v>ECUPCH 20 Index</v>
      </c>
      <c r="AH17" s="8" t="str">
        <f t="shared" ca="1" si="8"/>
        <v>ECUPCH 21 Index</v>
      </c>
      <c r="AI17" s="8" t="str">
        <f t="shared" ca="1" si="8"/>
        <v>ECUPCH 22 Index</v>
      </c>
      <c r="AJ17" s="8" t="str">
        <f t="shared" ca="1" si="8"/>
        <v>ECUPCH 23 Index</v>
      </c>
      <c r="AK17" s="8" t="str">
        <f t="shared" ca="1" si="8"/>
        <v>ECUPCH 24 Index</v>
      </c>
      <c r="AL17" s="8" t="str">
        <f t="shared" ca="1" si="8"/>
        <v>ECUPCH 25 Index</v>
      </c>
      <c r="AM17" s="8" t="str">
        <f t="shared" ca="1" si="10"/>
        <v>ECUPCH 26 Index</v>
      </c>
      <c r="AN17" s="8" t="str">
        <f t="shared" ca="1" si="10"/>
        <v>ECUPCH 27 Index</v>
      </c>
      <c r="AO17" s="8" t="str">
        <f t="shared" ca="1" si="8"/>
        <v>ECCACH 16 Index</v>
      </c>
      <c r="AP17" s="8" t="str">
        <f t="shared" ca="1" si="8"/>
        <v>ECCACH 17 Index</v>
      </c>
      <c r="AQ17" s="8" t="str">
        <f t="shared" ca="1" si="8"/>
        <v>ECCACH 18 Index</v>
      </c>
      <c r="AR17" s="8" t="str">
        <f t="shared" ca="1" si="11"/>
        <v>ECCACH 19 Index</v>
      </c>
      <c r="AS17" s="8" t="str">
        <f t="shared" ca="1" si="11"/>
        <v>ECCACH 20 Index</v>
      </c>
      <c r="AT17" s="8" t="str">
        <f t="shared" ca="1" si="11"/>
        <v>ECCACH 21 Index</v>
      </c>
      <c r="AU17" s="8" t="str">
        <f t="shared" ca="1" si="11"/>
        <v>ECCACH 22 Index</v>
      </c>
      <c r="AV17" s="8" t="str">
        <f t="shared" ca="1" si="11"/>
        <v>ECCACH 23 Index</v>
      </c>
      <c r="AW17" s="8" t="str">
        <f t="shared" ca="1" si="11"/>
        <v>ECCACH 24 Index</v>
      </c>
      <c r="AX17" s="8" t="str">
        <f t="shared" ca="1" si="11"/>
        <v>ECCACH 25 Index</v>
      </c>
      <c r="AY17" s="8" t="str">
        <f t="shared" ca="1" si="12"/>
        <v>ECCACH 26 Index</v>
      </c>
      <c r="AZ17" s="8" t="str">
        <f t="shared" ca="1" si="12"/>
        <v>ECCACH 27 Index</v>
      </c>
      <c r="BA17" s="8" t="str">
        <f t="shared" ca="1" si="11"/>
        <v>ECBBCH 16 Index</v>
      </c>
      <c r="BB17" s="8" t="str">
        <f t="shared" ca="1" si="11"/>
        <v>ECBBCH 17 Index</v>
      </c>
      <c r="BC17" s="8" t="str">
        <f t="shared" ca="1" si="11"/>
        <v>ECBBCH 18 Index</v>
      </c>
      <c r="BD17" s="8" t="str">
        <f t="shared" ca="1" si="11"/>
        <v>ECBBCH 19 Index</v>
      </c>
      <c r="BE17" s="8" t="str">
        <f t="shared" ca="1" si="11"/>
        <v>ECBBCH 20 Index</v>
      </c>
      <c r="BF17" s="8" t="str">
        <f t="shared" ca="1" si="11"/>
        <v>ECBBCH 21 Index</v>
      </c>
      <c r="BG17" s="8" t="str">
        <f t="shared" ca="1" si="11"/>
        <v>ECBBCH 22 Index</v>
      </c>
      <c r="BH17" s="8" t="str">
        <f t="shared" ca="1" si="11"/>
        <v>ECBBCH 23 Index</v>
      </c>
      <c r="BI17" s="8" t="str">
        <f t="shared" ca="1" si="11"/>
        <v>ECBBCH 24 Index</v>
      </c>
      <c r="BJ17" s="8" t="str">
        <f t="shared" ca="1" si="13"/>
        <v>ECBBCH 25 Index</v>
      </c>
      <c r="BK17" s="8" t="str">
        <f t="shared" ca="1" si="13"/>
        <v>ECBBCH 26 Index</v>
      </c>
      <c r="BL17" s="8" t="str">
        <f t="shared" ca="1" si="13"/>
        <v>ECBBCH 27 Index</v>
      </c>
    </row>
    <row r="18" spans="1:64" ht="18.75" customHeight="1" thickBot="1">
      <c r="A18" s="1" t="s">
        <v>48</v>
      </c>
      <c r="B18" s="1" t="s">
        <v>49</v>
      </c>
      <c r="C18" s="1" t="s">
        <v>50</v>
      </c>
      <c r="D18" s="1" t="s">
        <v>51</v>
      </c>
      <c r="E18" s="6" t="str">
        <f t="shared" ca="1" si="14"/>
        <v>ECGDTR 16 Index</v>
      </c>
      <c r="F18" s="6" t="str">
        <f t="shared" ca="1" si="7"/>
        <v>ECGDTR 17 Index</v>
      </c>
      <c r="G18" s="6" t="str">
        <f t="shared" ca="1" si="7"/>
        <v>ECGDTR 18 Index</v>
      </c>
      <c r="H18" s="6" t="str">
        <f t="shared" ca="1" si="7"/>
        <v>ECGDTR 19 Index</v>
      </c>
      <c r="I18" s="6" t="str">
        <f t="shared" ca="1" si="7"/>
        <v>ECGDTR 20 Index</v>
      </c>
      <c r="J18" s="6" t="str">
        <f t="shared" ca="1" si="7"/>
        <v>ECGDTR 21 Index</v>
      </c>
      <c r="K18" s="6" t="str">
        <f t="shared" ca="1" si="7"/>
        <v>ECGDTR 22 Index</v>
      </c>
      <c r="L18" s="6" t="str">
        <f t="shared" ca="1" si="7"/>
        <v>ECGDTR 23 Index</v>
      </c>
      <c r="M18" s="6" t="str">
        <f t="shared" ca="1" si="7"/>
        <v>ECGDTR 24 Index</v>
      </c>
      <c r="N18" s="6" t="str">
        <f t="shared" ca="1" si="7"/>
        <v>ECGDTR 25 Index</v>
      </c>
      <c r="O18" s="6" t="str">
        <f t="shared" ca="1" si="15"/>
        <v>ECGDTR 26 Index</v>
      </c>
      <c r="P18" s="6" t="str">
        <f t="shared" ca="1" si="15"/>
        <v>ECGDTR 27 Index</v>
      </c>
      <c r="Q18" s="6" t="str">
        <f t="shared" ca="1" si="7"/>
        <v>ECPITR 16 Index</v>
      </c>
      <c r="R18" s="6" t="str">
        <f t="shared" ca="1" si="7"/>
        <v>ECPITR 17 Index</v>
      </c>
      <c r="S18" s="6" t="str">
        <f t="shared" ca="1" si="7"/>
        <v>ECPITR 18 Index</v>
      </c>
      <c r="T18" s="6" t="str">
        <f t="shared" ca="1" si="7"/>
        <v>ECPITR 19 Index</v>
      </c>
      <c r="U18" s="6" t="str">
        <f t="shared" ca="1" si="7"/>
        <v>ECPITR 20 Index</v>
      </c>
      <c r="V18" s="6" t="str">
        <f t="shared" ca="1" si="7"/>
        <v>ECPITR 21 Index</v>
      </c>
      <c r="W18" s="6" t="str">
        <f t="shared" ca="1" si="7"/>
        <v>ECPITR 22 Index</v>
      </c>
      <c r="X18" s="6" t="str">
        <f t="shared" ca="1" si="8"/>
        <v>ECPITR 23 Index</v>
      </c>
      <c r="Y18" s="6" t="str">
        <f t="shared" ca="1" si="8"/>
        <v>ECPITR 24 Index</v>
      </c>
      <c r="Z18" s="6" t="str">
        <f t="shared" ca="1" si="8"/>
        <v>ECPITR 25 Index</v>
      </c>
      <c r="AA18" s="6" t="str">
        <f t="shared" ca="1" si="9"/>
        <v>ECPITR 26 Index</v>
      </c>
      <c r="AB18" s="6" t="str">
        <f t="shared" ca="1" si="9"/>
        <v>ECPITR 27 Index</v>
      </c>
      <c r="AC18" s="6" t="str">
        <f t="shared" ca="1" si="8"/>
        <v>ECUPTR 16 Index</v>
      </c>
      <c r="AD18" s="6" t="str">
        <f t="shared" ca="1" si="8"/>
        <v>ECUPTR 17 Index</v>
      </c>
      <c r="AE18" s="6" t="str">
        <f t="shared" ca="1" si="8"/>
        <v>ECUPTR 18 Index</v>
      </c>
      <c r="AF18" s="6" t="str">
        <f t="shared" ca="1" si="8"/>
        <v>ECUPTR 19 Index</v>
      </c>
      <c r="AG18" s="6" t="str">
        <f t="shared" ca="1" si="8"/>
        <v>ECUPTR 20 Index</v>
      </c>
      <c r="AH18" s="6" t="str">
        <f t="shared" ca="1" si="8"/>
        <v>ECUPTR 21 Index</v>
      </c>
      <c r="AI18" s="6" t="str">
        <f t="shared" ca="1" si="8"/>
        <v>ECUPTR 22 Index</v>
      </c>
      <c r="AJ18" s="6" t="str">
        <f t="shared" ca="1" si="8"/>
        <v>ECUPTR 23 Index</v>
      </c>
      <c r="AK18" s="6" t="str">
        <f t="shared" ca="1" si="8"/>
        <v>ECUPTR 24 Index</v>
      </c>
      <c r="AL18" s="6" t="str">
        <f t="shared" ca="1" si="8"/>
        <v>ECUPTR 25 Index</v>
      </c>
      <c r="AM18" s="6" t="str">
        <f t="shared" ca="1" si="10"/>
        <v>ECUPTR 26 Index</v>
      </c>
      <c r="AN18" s="6" t="str">
        <f t="shared" ca="1" si="10"/>
        <v>ECUPTR 27 Index</v>
      </c>
      <c r="AO18" s="6" t="str">
        <f t="shared" ca="1" si="8"/>
        <v>ECCATR 16 Index</v>
      </c>
      <c r="AP18" s="6" t="str">
        <f t="shared" ca="1" si="8"/>
        <v>ECCATR 17 Index</v>
      </c>
      <c r="AQ18" s="6" t="str">
        <f t="shared" ca="1" si="8"/>
        <v>ECCATR 18 Index</v>
      </c>
      <c r="AR18" s="6" t="str">
        <f t="shared" ca="1" si="11"/>
        <v>ECCATR 19 Index</v>
      </c>
      <c r="AS18" s="6" t="str">
        <f t="shared" ca="1" si="11"/>
        <v>ECCATR 20 Index</v>
      </c>
      <c r="AT18" s="6" t="str">
        <f t="shared" ca="1" si="11"/>
        <v>ECCATR 21 Index</v>
      </c>
      <c r="AU18" s="6" t="str">
        <f t="shared" ca="1" si="11"/>
        <v>ECCATR 22 Index</v>
      </c>
      <c r="AV18" s="6" t="str">
        <f t="shared" ca="1" si="11"/>
        <v>ECCATR 23 Index</v>
      </c>
      <c r="AW18" s="6" t="str">
        <f t="shared" ca="1" si="11"/>
        <v>ECCATR 24 Index</v>
      </c>
      <c r="AX18" s="6" t="str">
        <f t="shared" ca="1" si="11"/>
        <v>ECCATR 25 Index</v>
      </c>
      <c r="AY18" s="6" t="str">
        <f t="shared" ca="1" si="12"/>
        <v>ECCATR 26 Index</v>
      </c>
      <c r="AZ18" s="6" t="str">
        <f t="shared" ca="1" si="12"/>
        <v>ECCATR 27 Index</v>
      </c>
      <c r="BA18" s="6" t="str">
        <f t="shared" ca="1" si="11"/>
        <v>ECBBTR 16 Index</v>
      </c>
      <c r="BB18" s="6" t="str">
        <f t="shared" ca="1" si="11"/>
        <v>ECBBTR 17 Index</v>
      </c>
      <c r="BC18" s="6" t="str">
        <f t="shared" ca="1" si="11"/>
        <v>ECBBTR 18 Index</v>
      </c>
      <c r="BD18" s="6" t="str">
        <f t="shared" ca="1" si="11"/>
        <v>ECBBTR 19 Index</v>
      </c>
      <c r="BE18" s="6" t="str">
        <f t="shared" ca="1" si="11"/>
        <v>ECBBTR 20 Index</v>
      </c>
      <c r="BF18" s="6" t="str">
        <f t="shared" ca="1" si="11"/>
        <v>ECBBTR 21 Index</v>
      </c>
      <c r="BG18" s="6" t="str">
        <f t="shared" ca="1" si="11"/>
        <v>ECBBTR 22 Index</v>
      </c>
      <c r="BH18" s="6" t="str">
        <f t="shared" ca="1" si="11"/>
        <v>ECBBTR 23 Index</v>
      </c>
      <c r="BI18" s="6" t="str">
        <f t="shared" ca="1" si="11"/>
        <v>ECBBTR 24 Index</v>
      </c>
      <c r="BJ18" s="6" t="str">
        <f t="shared" ca="1" si="13"/>
        <v>ECBBTR 25 Index</v>
      </c>
      <c r="BK18" s="6" t="str">
        <f t="shared" ca="1" si="13"/>
        <v>ECBBTR 26 Index</v>
      </c>
      <c r="BL18" s="6" t="str">
        <f t="shared" ca="1" si="13"/>
        <v>ECBBTR 27 Index</v>
      </c>
    </row>
    <row r="19" spans="1:64" ht="18.75" customHeight="1" thickBot="1">
      <c r="A19" s="1" t="s">
        <v>52</v>
      </c>
      <c r="B19" s="1" t="s">
        <v>53</v>
      </c>
      <c r="C19" s="1" t="s">
        <v>50</v>
      </c>
      <c r="D19" s="1" t="s">
        <v>54</v>
      </c>
      <c r="E19" s="6" t="str">
        <f t="shared" ca="1" si="14"/>
        <v>ECGDTH 16 Index</v>
      </c>
      <c r="F19" s="6" t="str">
        <f t="shared" ca="1" si="7"/>
        <v>ECGDTH 17 Index</v>
      </c>
      <c r="G19" s="6" t="str">
        <f t="shared" ca="1" si="7"/>
        <v>ECGDTH 18 Index</v>
      </c>
      <c r="H19" s="6" t="str">
        <f t="shared" ca="1" si="7"/>
        <v>ECGDTH 19 Index</v>
      </c>
      <c r="I19" s="6" t="str">
        <f t="shared" ca="1" si="7"/>
        <v>ECGDTH 20 Index</v>
      </c>
      <c r="J19" s="6" t="str">
        <f t="shared" ca="1" si="7"/>
        <v>ECGDTH 21 Index</v>
      </c>
      <c r="K19" s="6" t="str">
        <f t="shared" ca="1" si="7"/>
        <v>ECGDTH 22 Index</v>
      </c>
      <c r="L19" s="6" t="str">
        <f t="shared" ca="1" si="7"/>
        <v>ECGDTH 23 Index</v>
      </c>
      <c r="M19" s="6" t="str">
        <f t="shared" ca="1" si="7"/>
        <v>ECGDTH 24 Index</v>
      </c>
      <c r="N19" s="6" t="str">
        <f t="shared" ca="1" si="7"/>
        <v>ECGDTH 25 Index</v>
      </c>
      <c r="O19" s="6" t="str">
        <f t="shared" ca="1" si="15"/>
        <v>ECGDTH 26 Index</v>
      </c>
      <c r="P19" s="6" t="str">
        <f t="shared" ca="1" si="15"/>
        <v>ECGDTH 27 Index</v>
      </c>
      <c r="Q19" s="6" t="str">
        <f t="shared" ca="1" si="7"/>
        <v>ECPITH 16 Index</v>
      </c>
      <c r="R19" s="6" t="str">
        <f t="shared" ca="1" si="7"/>
        <v>ECPITH 17 Index</v>
      </c>
      <c r="S19" s="6" t="str">
        <f t="shared" ca="1" si="7"/>
        <v>ECPITH 18 Index</v>
      </c>
      <c r="T19" s="6" t="str">
        <f t="shared" ca="1" si="7"/>
        <v>ECPITH 19 Index</v>
      </c>
      <c r="U19" s="6" t="str">
        <f t="shared" ca="1" si="7"/>
        <v>ECPITH 20 Index</v>
      </c>
      <c r="V19" s="6" t="str">
        <f t="shared" ca="1" si="7"/>
        <v>ECPITH 21 Index</v>
      </c>
      <c r="W19" s="6" t="str">
        <f t="shared" ref="W19:AP34" ca="1" si="16">"EC"&amp;W$1&amp;$A19&amp;" "&amp;W$2&amp;" Index"</f>
        <v>ECPITH 22 Index</v>
      </c>
      <c r="X19" s="6" t="str">
        <f t="shared" ca="1" si="8"/>
        <v>ECPITH 23 Index</v>
      </c>
      <c r="Y19" s="6" t="str">
        <f t="shared" ca="1" si="8"/>
        <v>ECPITH 24 Index</v>
      </c>
      <c r="Z19" s="6" t="str">
        <f t="shared" ca="1" si="8"/>
        <v>ECPITH 25 Index</v>
      </c>
      <c r="AA19" s="6" t="str">
        <f t="shared" ca="1" si="9"/>
        <v>ECPITH 26 Index</v>
      </c>
      <c r="AB19" s="6" t="str">
        <f t="shared" ca="1" si="9"/>
        <v>ECPITH 27 Index</v>
      </c>
      <c r="AC19" s="6" t="str">
        <f t="shared" ca="1" si="8"/>
        <v>ECUPTH 16 Index</v>
      </c>
      <c r="AD19" s="6" t="str">
        <f t="shared" ca="1" si="8"/>
        <v>ECUPTH 17 Index</v>
      </c>
      <c r="AE19" s="6" t="str">
        <f t="shared" ca="1" si="8"/>
        <v>ECUPTH 18 Index</v>
      </c>
      <c r="AF19" s="6" t="str">
        <f t="shared" ca="1" si="8"/>
        <v>ECUPTH 19 Index</v>
      </c>
      <c r="AG19" s="6" t="str">
        <f t="shared" ca="1" si="8"/>
        <v>ECUPTH 20 Index</v>
      </c>
      <c r="AH19" s="6" t="str">
        <f t="shared" ca="1" si="8"/>
        <v>ECUPTH 21 Index</v>
      </c>
      <c r="AI19" s="6" t="str">
        <f t="shared" ca="1" si="8"/>
        <v>ECUPTH 22 Index</v>
      </c>
      <c r="AJ19" s="6" t="str">
        <f t="shared" ca="1" si="8"/>
        <v>ECUPTH 23 Index</v>
      </c>
      <c r="AK19" s="6" t="str">
        <f t="shared" ca="1" si="8"/>
        <v>ECUPTH 24 Index</v>
      </c>
      <c r="AL19" s="6" t="str">
        <f t="shared" ca="1" si="8"/>
        <v>ECUPTH 25 Index</v>
      </c>
      <c r="AM19" s="6" t="str">
        <f t="shared" ca="1" si="10"/>
        <v>ECUPTH 26 Index</v>
      </c>
      <c r="AN19" s="6" t="str">
        <f t="shared" ca="1" si="10"/>
        <v>ECUPTH 27 Index</v>
      </c>
      <c r="AO19" s="6" t="str">
        <f t="shared" ca="1" si="8"/>
        <v>ECCATH 16 Index</v>
      </c>
      <c r="AP19" s="6" t="str">
        <f t="shared" ca="1" si="8"/>
        <v>ECCATH 17 Index</v>
      </c>
      <c r="AQ19" s="6" t="str">
        <f t="shared" ref="AQ19:BH34" ca="1" si="17">"EC"&amp;AQ$1&amp;$A19&amp;" "&amp;AQ$2&amp;" Index"</f>
        <v>ECCATH 18 Index</v>
      </c>
      <c r="AR19" s="6" t="str">
        <f t="shared" ca="1" si="11"/>
        <v>ECCATH 19 Index</v>
      </c>
      <c r="AS19" s="6" t="str">
        <f t="shared" ca="1" si="11"/>
        <v>ECCATH 20 Index</v>
      </c>
      <c r="AT19" s="6" t="str">
        <f t="shared" ca="1" si="11"/>
        <v>ECCATH 21 Index</v>
      </c>
      <c r="AU19" s="6" t="str">
        <f t="shared" ca="1" si="11"/>
        <v>ECCATH 22 Index</v>
      </c>
      <c r="AV19" s="6" t="str">
        <f t="shared" ca="1" si="11"/>
        <v>ECCATH 23 Index</v>
      </c>
      <c r="AW19" s="6" t="str">
        <f t="shared" ca="1" si="11"/>
        <v>ECCATH 24 Index</v>
      </c>
      <c r="AX19" s="6" t="str">
        <f t="shared" ca="1" si="11"/>
        <v>ECCATH 25 Index</v>
      </c>
      <c r="AY19" s="6" t="str">
        <f t="shared" ca="1" si="12"/>
        <v>ECCATH 26 Index</v>
      </c>
      <c r="AZ19" s="6" t="str">
        <f t="shared" ca="1" si="12"/>
        <v>ECCATH 27 Index</v>
      </c>
      <c r="BA19" s="6" t="str">
        <f t="shared" ca="1" si="11"/>
        <v>ECBBTH 16 Index</v>
      </c>
      <c r="BB19" s="6" t="str">
        <f t="shared" ca="1" si="11"/>
        <v>ECBBTH 17 Index</v>
      </c>
      <c r="BC19" s="6" t="str">
        <f t="shared" ca="1" si="11"/>
        <v>ECBBTH 18 Index</v>
      </c>
      <c r="BD19" s="6" t="str">
        <f t="shared" ca="1" si="11"/>
        <v>ECBBTH 19 Index</v>
      </c>
      <c r="BE19" s="6" t="str">
        <f t="shared" ca="1" si="11"/>
        <v>ECBBTH 20 Index</v>
      </c>
      <c r="BF19" s="6" t="str">
        <f t="shared" ca="1" si="11"/>
        <v>ECBBTH 21 Index</v>
      </c>
      <c r="BG19" s="6" t="str">
        <f t="shared" ca="1" si="11"/>
        <v>ECBBTH 22 Index</v>
      </c>
      <c r="BH19" s="6" t="str">
        <f t="shared" ca="1" si="11"/>
        <v>ECBBTH 23 Index</v>
      </c>
      <c r="BI19" s="6" t="str">
        <f t="shared" ref="BI19:BI39" ca="1" si="18">"EC"&amp;BI$1&amp;$A19&amp;" "&amp;BI$2&amp;" Index"</f>
        <v>ECBBTH 24 Index</v>
      </c>
      <c r="BJ19" s="6" t="str">
        <f t="shared" ca="1" si="13"/>
        <v>ECBBTH 25 Index</v>
      </c>
      <c r="BK19" s="6" t="str">
        <f t="shared" ca="1" si="13"/>
        <v>ECBBTH 26 Index</v>
      </c>
      <c r="BL19" s="6" t="str">
        <f t="shared" ca="1" si="13"/>
        <v>ECBBTH 27 Index</v>
      </c>
    </row>
    <row r="20" spans="1:64" ht="18.75" customHeight="1" thickBot="1">
      <c r="A20" s="1" t="s">
        <v>55</v>
      </c>
      <c r="B20" s="1" t="s">
        <v>56</v>
      </c>
      <c r="C20" s="1" t="s">
        <v>50</v>
      </c>
      <c r="D20" s="1" t="s">
        <v>57</v>
      </c>
      <c r="E20" s="6" t="str">
        <f t="shared" ca="1" si="14"/>
        <v>ECGDID 16 Index</v>
      </c>
      <c r="F20" s="6" t="str">
        <f t="shared" ca="1" si="14"/>
        <v>ECGDID 17 Index</v>
      </c>
      <c r="G20" s="6" t="str">
        <f t="shared" ca="1" si="14"/>
        <v>ECGDID 18 Index</v>
      </c>
      <c r="H20" s="6" t="str">
        <f t="shared" ca="1" si="14"/>
        <v>ECGDID 19 Index</v>
      </c>
      <c r="I20" s="6" t="str">
        <f t="shared" ca="1" si="14"/>
        <v>ECGDID 20 Index</v>
      </c>
      <c r="J20" s="6" t="str">
        <f t="shared" ca="1" si="14"/>
        <v>ECGDID 21 Index</v>
      </c>
      <c r="K20" s="6" t="str">
        <f t="shared" ca="1" si="14"/>
        <v>ECGDID 22 Index</v>
      </c>
      <c r="L20" s="6" t="str">
        <f t="shared" ca="1" si="14"/>
        <v>ECGDID 23 Index</v>
      </c>
      <c r="M20" s="6" t="str">
        <f t="shared" ca="1" si="14"/>
        <v>ECGDID 24 Index</v>
      </c>
      <c r="N20" s="6" t="str">
        <f t="shared" ca="1" si="14"/>
        <v>ECGDID 25 Index</v>
      </c>
      <c r="O20" s="6" t="str">
        <f t="shared" ca="1" si="14"/>
        <v>ECGDID 26 Index</v>
      </c>
      <c r="P20" s="6" t="str">
        <f t="shared" ca="1" si="14"/>
        <v>ECGDID 27 Index</v>
      </c>
      <c r="Q20" s="6" t="str">
        <f t="shared" ca="1" si="14"/>
        <v>ECPIID 16 Index</v>
      </c>
      <c r="R20" s="6" t="str">
        <f t="shared" ca="1" si="14"/>
        <v>ECPIID 17 Index</v>
      </c>
      <c r="S20" s="6" t="str">
        <f t="shared" ca="1" si="14"/>
        <v>ECPIID 18 Index</v>
      </c>
      <c r="T20" s="6" t="str">
        <f t="shared" ca="1" si="14"/>
        <v>ECPIID 19 Index</v>
      </c>
      <c r="U20" s="6" t="str">
        <f t="shared" ca="1" si="14"/>
        <v>ECPIID 20 Index</v>
      </c>
      <c r="V20" s="6" t="str">
        <f t="shared" ca="1" si="14"/>
        <v>ECPIID 21 Index</v>
      </c>
      <c r="W20" s="6" t="str">
        <f t="shared" ca="1" si="16"/>
        <v>ECPIID 22 Index</v>
      </c>
      <c r="X20" s="6" t="str">
        <f t="shared" ca="1" si="16"/>
        <v>ECPIID 23 Index</v>
      </c>
      <c r="Y20" s="6" t="str">
        <f t="shared" ca="1" si="16"/>
        <v>ECPIID 24 Index</v>
      </c>
      <c r="Z20" s="6" t="str">
        <f t="shared" ca="1" si="16"/>
        <v>ECPIID 25 Index</v>
      </c>
      <c r="AA20" s="6" t="str">
        <f t="shared" ca="1" si="16"/>
        <v>ECPIID 26 Index</v>
      </c>
      <c r="AB20" s="6" t="str">
        <f t="shared" ref="AB20:AB35" ca="1" si="19">"EC"&amp;AB$1&amp;$A20&amp;" "&amp;AB$2&amp;" Index"</f>
        <v>ECPIID 27 Index</v>
      </c>
      <c r="AC20" s="6" t="str">
        <f t="shared" ca="1" si="16"/>
        <v>ECUPID 16 Index</v>
      </c>
      <c r="AD20" s="6" t="str">
        <f t="shared" ca="1" si="16"/>
        <v>ECUPID 17 Index</v>
      </c>
      <c r="AE20" s="6" t="str">
        <f t="shared" ca="1" si="16"/>
        <v>ECUPID 18 Index</v>
      </c>
      <c r="AF20" s="6" t="str">
        <f t="shared" ca="1" si="16"/>
        <v>ECUPID 19 Index</v>
      </c>
      <c r="AG20" s="6" t="str">
        <f t="shared" ca="1" si="16"/>
        <v>ECUPID 20 Index</v>
      </c>
      <c r="AH20" s="6" t="str">
        <f t="shared" ca="1" si="16"/>
        <v>ECUPID 21 Index</v>
      </c>
      <c r="AI20" s="6" t="str">
        <f t="shared" ca="1" si="16"/>
        <v>ECUPID 22 Index</v>
      </c>
      <c r="AJ20" s="6" t="str">
        <f t="shared" ca="1" si="16"/>
        <v>ECUPID 23 Index</v>
      </c>
      <c r="AK20" s="6" t="str">
        <f t="shared" ca="1" si="16"/>
        <v>ECUPID 24 Index</v>
      </c>
      <c r="AL20" s="6" t="str">
        <f t="shared" ca="1" si="16"/>
        <v>ECUPID 25 Index</v>
      </c>
      <c r="AM20" s="6" t="str">
        <f t="shared" ca="1" si="10"/>
        <v>ECUPID 26 Index</v>
      </c>
      <c r="AN20" s="6" t="str">
        <f t="shared" ca="1" si="10"/>
        <v>ECUPID 27 Index</v>
      </c>
      <c r="AO20" s="6" t="str">
        <f t="shared" ca="1" si="16"/>
        <v>ECCAID 16 Index</v>
      </c>
      <c r="AP20" s="6" t="str">
        <f t="shared" ca="1" si="16"/>
        <v>ECCAID 17 Index</v>
      </c>
      <c r="AQ20" s="6" t="str">
        <f t="shared" ca="1" si="17"/>
        <v>ECCAID 18 Index</v>
      </c>
      <c r="AR20" s="6" t="str">
        <f t="shared" ca="1" si="17"/>
        <v>ECCAID 19 Index</v>
      </c>
      <c r="AS20" s="6" t="str">
        <f t="shared" ca="1" si="17"/>
        <v>ECCAID 20 Index</v>
      </c>
      <c r="AT20" s="6" t="str">
        <f t="shared" ca="1" si="17"/>
        <v>ECCAID 21 Index</v>
      </c>
      <c r="AU20" s="6" t="str">
        <f t="shared" ca="1" si="17"/>
        <v>ECCAID 22 Index</v>
      </c>
      <c r="AV20" s="6" t="str">
        <f t="shared" ca="1" si="17"/>
        <v>ECCAID 23 Index</v>
      </c>
      <c r="AW20" s="6" t="str">
        <f t="shared" ca="1" si="17"/>
        <v>ECCAID 24 Index</v>
      </c>
      <c r="AX20" s="6" t="str">
        <f t="shared" ca="1" si="17"/>
        <v>ECCAID 25 Index</v>
      </c>
      <c r="AY20" s="6" t="str">
        <f t="shared" ca="1" si="17"/>
        <v>ECCAID 26 Index</v>
      </c>
      <c r="AZ20" s="6" t="str">
        <f t="shared" ref="AZ20:AZ35" ca="1" si="20">"EC"&amp;AZ$1&amp;$A20&amp;" "&amp;AZ$2&amp;" Index"</f>
        <v>ECCAID 27 Index</v>
      </c>
      <c r="BA20" s="6" t="str">
        <f t="shared" ca="1" si="17"/>
        <v>ECBBID 16 Index</v>
      </c>
      <c r="BB20" s="6" t="str">
        <f t="shared" ca="1" si="17"/>
        <v>ECBBID 17 Index</v>
      </c>
      <c r="BC20" s="6" t="str">
        <f t="shared" ca="1" si="17"/>
        <v>ECBBID 18 Index</v>
      </c>
      <c r="BD20" s="6" t="str">
        <f t="shared" ca="1" si="17"/>
        <v>ECBBID 19 Index</v>
      </c>
      <c r="BE20" s="6" t="str">
        <f t="shared" ca="1" si="17"/>
        <v>ECBBID 20 Index</v>
      </c>
      <c r="BF20" s="6" t="str">
        <f t="shared" ca="1" si="17"/>
        <v>ECBBID 21 Index</v>
      </c>
      <c r="BG20" s="6" t="str">
        <f t="shared" ca="1" si="17"/>
        <v>ECBBID 22 Index</v>
      </c>
      <c r="BH20" s="6" t="str">
        <f t="shared" ca="1" si="17"/>
        <v>ECBBID 23 Index</v>
      </c>
      <c r="BI20" s="6" t="str">
        <f t="shared" ca="1" si="18"/>
        <v>ECBBID 24 Index</v>
      </c>
      <c r="BJ20" s="6" t="str">
        <f t="shared" ca="1" si="13"/>
        <v>ECBBID 25 Index</v>
      </c>
      <c r="BK20" s="6" t="str">
        <f t="shared" ca="1" si="13"/>
        <v>ECBBID 26 Index</v>
      </c>
      <c r="BL20" s="6" t="str">
        <f t="shared" ca="1" si="13"/>
        <v>ECBBID 27 Index</v>
      </c>
    </row>
    <row r="21" spans="1:64" ht="18.75" customHeight="1" thickBot="1">
      <c r="A21" s="1" t="s">
        <v>58</v>
      </c>
      <c r="B21" s="1" t="s">
        <v>59</v>
      </c>
      <c r="C21" s="1" t="s">
        <v>50</v>
      </c>
      <c r="D21" s="1" t="s">
        <v>60</v>
      </c>
      <c r="E21" s="6" t="str">
        <f t="shared" ref="E21:V36" ca="1" si="21">"EC"&amp;E$1&amp;$A21&amp;" "&amp;E$2&amp;" Index"</f>
        <v>ECGDMY 16 Index</v>
      </c>
      <c r="F21" s="6" t="str">
        <f t="shared" ca="1" si="21"/>
        <v>ECGDMY 17 Index</v>
      </c>
      <c r="G21" s="6" t="str">
        <f t="shared" ca="1" si="21"/>
        <v>ECGDMY 18 Index</v>
      </c>
      <c r="H21" s="6" t="str">
        <f t="shared" ca="1" si="21"/>
        <v>ECGDMY 19 Index</v>
      </c>
      <c r="I21" s="6" t="str">
        <f t="shared" ca="1" si="21"/>
        <v>ECGDMY 20 Index</v>
      </c>
      <c r="J21" s="6" t="str">
        <f t="shared" ca="1" si="21"/>
        <v>ECGDMY 21 Index</v>
      </c>
      <c r="K21" s="6" t="str">
        <f t="shared" ca="1" si="21"/>
        <v>ECGDMY 22 Index</v>
      </c>
      <c r="L21" s="6" t="str">
        <f t="shared" ca="1" si="21"/>
        <v>ECGDMY 23 Index</v>
      </c>
      <c r="M21" s="6" t="str">
        <f t="shared" ca="1" si="21"/>
        <v>ECGDMY 24 Index</v>
      </c>
      <c r="N21" s="6" t="str">
        <f t="shared" ca="1" si="21"/>
        <v>ECGDMY 25 Index</v>
      </c>
      <c r="O21" s="6" t="str">
        <f t="shared" ref="O21:P36" ca="1" si="22">"EC"&amp;O$1&amp;$A21&amp;" "&amp;O$2&amp;" Index"</f>
        <v>ECGDMY 26 Index</v>
      </c>
      <c r="P21" s="6" t="str">
        <f t="shared" ca="1" si="22"/>
        <v>ECGDMY 27 Index</v>
      </c>
      <c r="Q21" s="6" t="str">
        <f t="shared" ca="1" si="21"/>
        <v>ECPIMY 16 Index</v>
      </c>
      <c r="R21" s="6" t="str">
        <f t="shared" ca="1" si="21"/>
        <v>ECPIMY 17 Index</v>
      </c>
      <c r="S21" s="6" t="str">
        <f t="shared" ca="1" si="21"/>
        <v>ECPIMY 18 Index</v>
      </c>
      <c r="T21" s="6" t="str">
        <f t="shared" ca="1" si="21"/>
        <v>ECPIMY 19 Index</v>
      </c>
      <c r="U21" s="6" t="str">
        <f t="shared" ca="1" si="21"/>
        <v>ECPIMY 20 Index</v>
      </c>
      <c r="V21" s="6" t="str">
        <f t="shared" ca="1" si="21"/>
        <v>ECPIMY 21 Index</v>
      </c>
      <c r="W21" s="6" t="str">
        <f t="shared" ca="1" si="16"/>
        <v>ECPIMY 22 Index</v>
      </c>
      <c r="X21" s="6" t="str">
        <f t="shared" ca="1" si="16"/>
        <v>ECPIMY 23 Index</v>
      </c>
      <c r="Y21" s="6" t="str">
        <f t="shared" ca="1" si="16"/>
        <v>ECPIMY 24 Index</v>
      </c>
      <c r="Z21" s="6" t="str">
        <f t="shared" ca="1" si="16"/>
        <v>ECPIMY 25 Index</v>
      </c>
      <c r="AA21" s="6" t="str">
        <f t="shared" ca="1" si="16"/>
        <v>ECPIMY 26 Index</v>
      </c>
      <c r="AB21" s="6" t="str">
        <f t="shared" ca="1" si="19"/>
        <v>ECPIMY 27 Index</v>
      </c>
      <c r="AC21" s="6" t="str">
        <f t="shared" ca="1" si="16"/>
        <v>ECUPMY 16 Index</v>
      </c>
      <c r="AD21" s="6" t="str">
        <f t="shared" ca="1" si="16"/>
        <v>ECUPMY 17 Index</v>
      </c>
      <c r="AE21" s="6" t="str">
        <f t="shared" ca="1" si="16"/>
        <v>ECUPMY 18 Index</v>
      </c>
      <c r="AF21" s="6" t="str">
        <f t="shared" ca="1" si="16"/>
        <v>ECUPMY 19 Index</v>
      </c>
      <c r="AG21" s="6" t="str">
        <f t="shared" ca="1" si="16"/>
        <v>ECUPMY 20 Index</v>
      </c>
      <c r="AH21" s="6" t="str">
        <f t="shared" ca="1" si="16"/>
        <v>ECUPMY 21 Index</v>
      </c>
      <c r="AI21" s="6" t="str">
        <f t="shared" ca="1" si="16"/>
        <v>ECUPMY 22 Index</v>
      </c>
      <c r="AJ21" s="6" t="str">
        <f t="shared" ca="1" si="16"/>
        <v>ECUPMY 23 Index</v>
      </c>
      <c r="AK21" s="6" t="str">
        <f t="shared" ca="1" si="16"/>
        <v>ECUPMY 24 Index</v>
      </c>
      <c r="AL21" s="6" t="str">
        <f t="shared" ca="1" si="16"/>
        <v>ECUPMY 25 Index</v>
      </c>
      <c r="AM21" s="6" t="str">
        <f t="shared" ca="1" si="10"/>
        <v>ECUPMY 26 Index</v>
      </c>
      <c r="AN21" s="6" t="str">
        <f t="shared" ca="1" si="10"/>
        <v>ECUPMY 27 Index</v>
      </c>
      <c r="AO21" s="6" t="str">
        <f t="shared" ca="1" si="16"/>
        <v>ECCAMY 16 Index</v>
      </c>
      <c r="AP21" s="6" t="str">
        <f t="shared" ca="1" si="16"/>
        <v>ECCAMY 17 Index</v>
      </c>
      <c r="AQ21" s="6" t="str">
        <f t="shared" ca="1" si="17"/>
        <v>ECCAMY 18 Index</v>
      </c>
      <c r="AR21" s="6" t="str">
        <f t="shared" ca="1" si="17"/>
        <v>ECCAMY 19 Index</v>
      </c>
      <c r="AS21" s="6" t="str">
        <f t="shared" ca="1" si="17"/>
        <v>ECCAMY 20 Index</v>
      </c>
      <c r="AT21" s="6" t="str">
        <f t="shared" ca="1" si="17"/>
        <v>ECCAMY 21 Index</v>
      </c>
      <c r="AU21" s="6" t="str">
        <f t="shared" ca="1" si="17"/>
        <v>ECCAMY 22 Index</v>
      </c>
      <c r="AV21" s="6" t="str">
        <f t="shared" ca="1" si="17"/>
        <v>ECCAMY 23 Index</v>
      </c>
      <c r="AW21" s="6" t="str">
        <f t="shared" ca="1" si="17"/>
        <v>ECCAMY 24 Index</v>
      </c>
      <c r="AX21" s="6" t="str">
        <f t="shared" ca="1" si="17"/>
        <v>ECCAMY 25 Index</v>
      </c>
      <c r="AY21" s="6" t="str">
        <f t="shared" ca="1" si="17"/>
        <v>ECCAMY 26 Index</v>
      </c>
      <c r="AZ21" s="6" t="str">
        <f t="shared" ca="1" si="20"/>
        <v>ECCAMY 27 Index</v>
      </c>
      <c r="BA21" s="6" t="str">
        <f t="shared" ca="1" si="17"/>
        <v>ECBBMY 16 Index</v>
      </c>
      <c r="BB21" s="6" t="str">
        <f t="shared" ca="1" si="17"/>
        <v>ECBBMY 17 Index</v>
      </c>
      <c r="BC21" s="6" t="str">
        <f t="shared" ca="1" si="17"/>
        <v>ECBBMY 18 Index</v>
      </c>
      <c r="BD21" s="6" t="str">
        <f t="shared" ca="1" si="17"/>
        <v>ECBBMY 19 Index</v>
      </c>
      <c r="BE21" s="6" t="str">
        <f t="shared" ca="1" si="17"/>
        <v>ECBBMY 20 Index</v>
      </c>
      <c r="BF21" s="6" t="str">
        <f t="shared" ca="1" si="17"/>
        <v>ECBBMY 21 Index</v>
      </c>
      <c r="BG21" s="6" t="str">
        <f t="shared" ca="1" si="17"/>
        <v>ECBBMY 22 Index</v>
      </c>
      <c r="BH21" s="6" t="str">
        <f t="shared" ca="1" si="17"/>
        <v>ECBBMY 23 Index</v>
      </c>
      <c r="BI21" s="6" t="str">
        <f t="shared" ca="1" si="18"/>
        <v>ECBBMY 24 Index</v>
      </c>
      <c r="BJ21" s="6" t="str">
        <f t="shared" ca="1" si="13"/>
        <v>ECBBMY 25 Index</v>
      </c>
      <c r="BK21" s="6" t="str">
        <f t="shared" ca="1" si="13"/>
        <v>ECBBMY 26 Index</v>
      </c>
      <c r="BL21" s="6" t="str">
        <f t="shared" ca="1" si="13"/>
        <v>ECBBMY 27 Index</v>
      </c>
    </row>
    <row r="22" spans="1:64" ht="18.75" customHeight="1" thickBot="1">
      <c r="A22" s="1" t="s">
        <v>61</v>
      </c>
      <c r="B22" s="1" t="s">
        <v>62</v>
      </c>
      <c r="C22" s="1" t="s">
        <v>50</v>
      </c>
      <c r="D22" s="5" t="s">
        <v>63</v>
      </c>
      <c r="E22" s="6" t="str">
        <f t="shared" ca="1" si="21"/>
        <v>ECGDZA 16 Index</v>
      </c>
      <c r="F22" s="6" t="str">
        <f t="shared" ca="1" si="21"/>
        <v>ECGDZA 17 Index</v>
      </c>
      <c r="G22" s="6" t="str">
        <f t="shared" ca="1" si="21"/>
        <v>ECGDZA 18 Index</v>
      </c>
      <c r="H22" s="6" t="str">
        <f t="shared" ca="1" si="21"/>
        <v>ECGDZA 19 Index</v>
      </c>
      <c r="I22" s="6" t="str">
        <f t="shared" ca="1" si="21"/>
        <v>ECGDZA 20 Index</v>
      </c>
      <c r="J22" s="6" t="str">
        <f t="shared" ca="1" si="21"/>
        <v>ECGDZA 21 Index</v>
      </c>
      <c r="K22" s="6" t="str">
        <f t="shared" ca="1" si="21"/>
        <v>ECGDZA 22 Index</v>
      </c>
      <c r="L22" s="6" t="str">
        <f t="shared" ca="1" si="21"/>
        <v>ECGDZA 23 Index</v>
      </c>
      <c r="M22" s="6" t="str">
        <f t="shared" ca="1" si="21"/>
        <v>ECGDZA 24 Index</v>
      </c>
      <c r="N22" s="6" t="str">
        <f t="shared" ca="1" si="21"/>
        <v>ECGDZA 25 Index</v>
      </c>
      <c r="O22" s="6" t="str">
        <f t="shared" ca="1" si="22"/>
        <v>ECGDZA 26 Index</v>
      </c>
      <c r="P22" s="6" t="str">
        <f t="shared" ca="1" si="22"/>
        <v>ECGDZA 27 Index</v>
      </c>
      <c r="Q22" s="6" t="str">
        <f t="shared" ca="1" si="21"/>
        <v>ECPIZA 16 Index</v>
      </c>
      <c r="R22" s="6" t="str">
        <f t="shared" ca="1" si="21"/>
        <v>ECPIZA 17 Index</v>
      </c>
      <c r="S22" s="6" t="str">
        <f t="shared" ca="1" si="21"/>
        <v>ECPIZA 18 Index</v>
      </c>
      <c r="T22" s="6" t="str">
        <f t="shared" ca="1" si="21"/>
        <v>ECPIZA 19 Index</v>
      </c>
      <c r="U22" s="6" t="str">
        <f t="shared" ca="1" si="21"/>
        <v>ECPIZA 20 Index</v>
      </c>
      <c r="V22" s="6" t="str">
        <f t="shared" ca="1" si="21"/>
        <v>ECPIZA 21 Index</v>
      </c>
      <c r="W22" s="6" t="str">
        <f t="shared" ca="1" si="16"/>
        <v>ECPIZA 22 Index</v>
      </c>
      <c r="X22" s="6" t="str">
        <f t="shared" ca="1" si="16"/>
        <v>ECPIZA 23 Index</v>
      </c>
      <c r="Y22" s="6" t="str">
        <f t="shared" ca="1" si="16"/>
        <v>ECPIZA 24 Index</v>
      </c>
      <c r="Z22" s="6" t="str">
        <f t="shared" ca="1" si="16"/>
        <v>ECPIZA 25 Index</v>
      </c>
      <c r="AA22" s="6" t="str">
        <f t="shared" ca="1" si="16"/>
        <v>ECPIZA 26 Index</v>
      </c>
      <c r="AB22" s="6" t="str">
        <f t="shared" ca="1" si="19"/>
        <v>ECPIZA 27 Index</v>
      </c>
      <c r="AC22" s="6" t="str">
        <f t="shared" ca="1" si="16"/>
        <v>ECUPZA 16 Index</v>
      </c>
      <c r="AD22" s="6" t="str">
        <f t="shared" ca="1" si="16"/>
        <v>ECUPZA 17 Index</v>
      </c>
      <c r="AE22" s="6" t="str">
        <f t="shared" ca="1" si="16"/>
        <v>ECUPZA 18 Index</v>
      </c>
      <c r="AF22" s="6" t="str">
        <f t="shared" ca="1" si="16"/>
        <v>ECUPZA 19 Index</v>
      </c>
      <c r="AG22" s="6" t="str">
        <f t="shared" ca="1" si="16"/>
        <v>ECUPZA 20 Index</v>
      </c>
      <c r="AH22" s="6" t="str">
        <f t="shared" ca="1" si="16"/>
        <v>ECUPZA 21 Index</v>
      </c>
      <c r="AI22" s="6" t="str">
        <f t="shared" ca="1" si="16"/>
        <v>ECUPZA 22 Index</v>
      </c>
      <c r="AJ22" s="6" t="str">
        <f t="shared" ca="1" si="16"/>
        <v>ECUPZA 23 Index</v>
      </c>
      <c r="AK22" s="6" t="str">
        <f t="shared" ca="1" si="16"/>
        <v>ECUPZA 24 Index</v>
      </c>
      <c r="AL22" s="6" t="str">
        <f t="shared" ca="1" si="16"/>
        <v>ECUPZA 25 Index</v>
      </c>
      <c r="AM22" s="6" t="str">
        <f t="shared" ca="1" si="10"/>
        <v>ECUPZA 26 Index</v>
      </c>
      <c r="AN22" s="6" t="str">
        <f t="shared" ca="1" si="10"/>
        <v>ECUPZA 27 Index</v>
      </c>
      <c r="AO22" s="6" t="str">
        <f t="shared" ca="1" si="16"/>
        <v>ECCAZA 16 Index</v>
      </c>
      <c r="AP22" s="6" t="str">
        <f t="shared" ca="1" si="16"/>
        <v>ECCAZA 17 Index</v>
      </c>
      <c r="AQ22" s="6" t="str">
        <f t="shared" ca="1" si="17"/>
        <v>ECCAZA 18 Index</v>
      </c>
      <c r="AR22" s="6" t="str">
        <f t="shared" ca="1" si="17"/>
        <v>ECCAZA 19 Index</v>
      </c>
      <c r="AS22" s="6" t="str">
        <f t="shared" ca="1" si="17"/>
        <v>ECCAZA 20 Index</v>
      </c>
      <c r="AT22" s="6" t="str">
        <f t="shared" ca="1" si="17"/>
        <v>ECCAZA 21 Index</v>
      </c>
      <c r="AU22" s="6" t="str">
        <f t="shared" ca="1" si="17"/>
        <v>ECCAZA 22 Index</v>
      </c>
      <c r="AV22" s="6" t="str">
        <f t="shared" ca="1" si="17"/>
        <v>ECCAZA 23 Index</v>
      </c>
      <c r="AW22" s="6" t="str">
        <f t="shared" ca="1" si="17"/>
        <v>ECCAZA 24 Index</v>
      </c>
      <c r="AX22" s="6" t="str">
        <f t="shared" ca="1" si="17"/>
        <v>ECCAZA 25 Index</v>
      </c>
      <c r="AY22" s="6" t="str">
        <f t="shared" ca="1" si="17"/>
        <v>ECCAZA 26 Index</v>
      </c>
      <c r="AZ22" s="6" t="str">
        <f t="shared" ca="1" si="20"/>
        <v>ECCAZA 27 Index</v>
      </c>
      <c r="BA22" s="6" t="str">
        <f t="shared" ca="1" si="17"/>
        <v>ECBBZA 16 Index</v>
      </c>
      <c r="BB22" s="6" t="str">
        <f t="shared" ca="1" si="17"/>
        <v>ECBBZA 17 Index</v>
      </c>
      <c r="BC22" s="6" t="str">
        <f t="shared" ca="1" si="17"/>
        <v>ECBBZA 18 Index</v>
      </c>
      <c r="BD22" s="6" t="str">
        <f t="shared" ca="1" si="17"/>
        <v>ECBBZA 19 Index</v>
      </c>
      <c r="BE22" s="6" t="str">
        <f t="shared" ca="1" si="17"/>
        <v>ECBBZA 20 Index</v>
      </c>
      <c r="BF22" s="6" t="str">
        <f t="shared" ca="1" si="17"/>
        <v>ECBBZA 21 Index</v>
      </c>
      <c r="BG22" s="6" t="str">
        <f t="shared" ca="1" si="17"/>
        <v>ECBBZA 22 Index</v>
      </c>
      <c r="BH22" s="6" t="str">
        <f t="shared" ca="1" si="17"/>
        <v>ECBBZA 23 Index</v>
      </c>
      <c r="BI22" s="6" t="str">
        <f t="shared" ca="1" si="18"/>
        <v>ECBBZA 24 Index</v>
      </c>
      <c r="BJ22" s="6" t="str">
        <f t="shared" ca="1" si="13"/>
        <v>ECBBZA 25 Index</v>
      </c>
      <c r="BK22" s="6" t="str">
        <f t="shared" ca="1" si="13"/>
        <v>ECBBZA 26 Index</v>
      </c>
      <c r="BL22" s="6" t="str">
        <f t="shared" ca="1" si="13"/>
        <v>ECBBZA 27 Index</v>
      </c>
    </row>
    <row r="23" spans="1:64" ht="18.75" customHeight="1" thickBot="1">
      <c r="A23" s="1" t="s">
        <v>64</v>
      </c>
      <c r="B23" s="1" t="s">
        <v>65</v>
      </c>
      <c r="C23" s="1" t="s">
        <v>50</v>
      </c>
      <c r="D23" s="1" t="s">
        <v>66</v>
      </c>
      <c r="E23" s="6" t="str">
        <f t="shared" ca="1" si="21"/>
        <v>ECGDCN 16 Index</v>
      </c>
      <c r="F23" s="6" t="str">
        <f t="shared" ca="1" si="21"/>
        <v>ECGDCN 17 Index</v>
      </c>
      <c r="G23" s="6" t="str">
        <f t="shared" ca="1" si="21"/>
        <v>ECGDCN 18 Index</v>
      </c>
      <c r="H23" s="6" t="str">
        <f t="shared" ca="1" si="21"/>
        <v>ECGDCN 19 Index</v>
      </c>
      <c r="I23" s="6" t="str">
        <f t="shared" ca="1" si="21"/>
        <v>ECGDCN 20 Index</v>
      </c>
      <c r="J23" s="6" t="str">
        <f t="shared" ca="1" si="21"/>
        <v>ECGDCN 21 Index</v>
      </c>
      <c r="K23" s="6" t="str">
        <f t="shared" ca="1" si="21"/>
        <v>ECGDCN 22 Index</v>
      </c>
      <c r="L23" s="6" t="str">
        <f t="shared" ca="1" si="21"/>
        <v>ECGDCN 23 Index</v>
      </c>
      <c r="M23" s="6" t="str">
        <f t="shared" ca="1" si="21"/>
        <v>ECGDCN 24 Index</v>
      </c>
      <c r="N23" s="6" t="str">
        <f t="shared" ca="1" si="21"/>
        <v>ECGDCN 25 Index</v>
      </c>
      <c r="O23" s="6" t="str">
        <f t="shared" ca="1" si="22"/>
        <v>ECGDCN 26 Index</v>
      </c>
      <c r="P23" s="6" t="str">
        <f t="shared" ca="1" si="22"/>
        <v>ECGDCN 27 Index</v>
      </c>
      <c r="Q23" s="6" t="str">
        <f t="shared" ca="1" si="21"/>
        <v>ECPICN 16 Index</v>
      </c>
      <c r="R23" s="6" t="str">
        <f t="shared" ca="1" si="21"/>
        <v>ECPICN 17 Index</v>
      </c>
      <c r="S23" s="6" t="str">
        <f t="shared" ca="1" si="21"/>
        <v>ECPICN 18 Index</v>
      </c>
      <c r="T23" s="6" t="str">
        <f t="shared" ca="1" si="21"/>
        <v>ECPICN 19 Index</v>
      </c>
      <c r="U23" s="6" t="str">
        <f t="shared" ca="1" si="21"/>
        <v>ECPICN 20 Index</v>
      </c>
      <c r="V23" s="6" t="str">
        <f t="shared" ca="1" si="21"/>
        <v>ECPICN 21 Index</v>
      </c>
      <c r="W23" s="6" t="str">
        <f t="shared" ca="1" si="16"/>
        <v>ECPICN 22 Index</v>
      </c>
      <c r="X23" s="6" t="str">
        <f t="shared" ca="1" si="16"/>
        <v>ECPICN 23 Index</v>
      </c>
      <c r="Y23" s="6" t="str">
        <f t="shared" ca="1" si="16"/>
        <v>ECPICN 24 Index</v>
      </c>
      <c r="Z23" s="6" t="str">
        <f t="shared" ca="1" si="16"/>
        <v>ECPICN 25 Index</v>
      </c>
      <c r="AA23" s="6" t="str">
        <f t="shared" ca="1" si="16"/>
        <v>ECPICN 26 Index</v>
      </c>
      <c r="AB23" s="6" t="str">
        <f t="shared" ca="1" si="19"/>
        <v>ECPICN 27 Index</v>
      </c>
      <c r="AC23" s="6" t="str">
        <f t="shared" ca="1" si="16"/>
        <v>ECUPCN 16 Index</v>
      </c>
      <c r="AD23" s="6" t="str">
        <f t="shared" ca="1" si="16"/>
        <v>ECUPCN 17 Index</v>
      </c>
      <c r="AE23" s="6" t="str">
        <f t="shared" ca="1" si="16"/>
        <v>ECUPCN 18 Index</v>
      </c>
      <c r="AF23" s="6" t="str">
        <f t="shared" ca="1" si="16"/>
        <v>ECUPCN 19 Index</v>
      </c>
      <c r="AG23" s="6" t="str">
        <f t="shared" ca="1" si="16"/>
        <v>ECUPCN 20 Index</v>
      </c>
      <c r="AH23" s="6" t="str">
        <f t="shared" ca="1" si="16"/>
        <v>ECUPCN 21 Index</v>
      </c>
      <c r="AI23" s="6" t="str">
        <f t="shared" ca="1" si="16"/>
        <v>ECUPCN 22 Index</v>
      </c>
      <c r="AJ23" s="6" t="str">
        <f t="shared" ca="1" si="16"/>
        <v>ECUPCN 23 Index</v>
      </c>
      <c r="AK23" s="6" t="str">
        <f t="shared" ca="1" si="16"/>
        <v>ECUPCN 24 Index</v>
      </c>
      <c r="AL23" s="6" t="str">
        <f t="shared" ca="1" si="16"/>
        <v>ECUPCN 25 Index</v>
      </c>
      <c r="AM23" s="6" t="str">
        <f t="shared" ca="1" si="10"/>
        <v>ECUPCN 26 Index</v>
      </c>
      <c r="AN23" s="6" t="str">
        <f t="shared" ca="1" si="10"/>
        <v>ECUPCN 27 Index</v>
      </c>
      <c r="AO23" s="6" t="str">
        <f t="shared" ca="1" si="16"/>
        <v>ECCACN 16 Index</v>
      </c>
      <c r="AP23" s="6" t="str">
        <f t="shared" ca="1" si="16"/>
        <v>ECCACN 17 Index</v>
      </c>
      <c r="AQ23" s="6" t="str">
        <f t="shared" ca="1" si="17"/>
        <v>ECCACN 18 Index</v>
      </c>
      <c r="AR23" s="6" t="str">
        <f t="shared" ca="1" si="17"/>
        <v>ECCACN 19 Index</v>
      </c>
      <c r="AS23" s="6" t="str">
        <f t="shared" ca="1" si="17"/>
        <v>ECCACN 20 Index</v>
      </c>
      <c r="AT23" s="6" t="str">
        <f t="shared" ca="1" si="17"/>
        <v>ECCACN 21 Index</v>
      </c>
      <c r="AU23" s="6" t="str">
        <f t="shared" ca="1" si="17"/>
        <v>ECCACN 22 Index</v>
      </c>
      <c r="AV23" s="6" t="str">
        <f t="shared" ca="1" si="17"/>
        <v>ECCACN 23 Index</v>
      </c>
      <c r="AW23" s="6" t="str">
        <f t="shared" ca="1" si="17"/>
        <v>ECCACN 24 Index</v>
      </c>
      <c r="AX23" s="6" t="str">
        <f t="shared" ca="1" si="17"/>
        <v>ECCACN 25 Index</v>
      </c>
      <c r="AY23" s="6" t="str">
        <f t="shared" ca="1" si="17"/>
        <v>ECCACN 26 Index</v>
      </c>
      <c r="AZ23" s="6" t="str">
        <f t="shared" ca="1" si="20"/>
        <v>ECCACN 27 Index</v>
      </c>
      <c r="BA23" s="6" t="str">
        <f t="shared" ca="1" si="17"/>
        <v>ECBBCN 16 Index</v>
      </c>
      <c r="BB23" s="6" t="str">
        <f t="shared" ca="1" si="17"/>
        <v>ECBBCN 17 Index</v>
      </c>
      <c r="BC23" s="6" t="str">
        <f t="shared" ca="1" si="17"/>
        <v>ECBBCN 18 Index</v>
      </c>
      <c r="BD23" s="6" t="str">
        <f t="shared" ca="1" si="17"/>
        <v>ECBBCN 19 Index</v>
      </c>
      <c r="BE23" s="6" t="str">
        <f t="shared" ca="1" si="17"/>
        <v>ECBBCN 20 Index</v>
      </c>
      <c r="BF23" s="6" t="str">
        <f t="shared" ca="1" si="17"/>
        <v>ECBBCN 21 Index</v>
      </c>
      <c r="BG23" s="6" t="str">
        <f t="shared" ca="1" si="17"/>
        <v>ECBBCN 22 Index</v>
      </c>
      <c r="BH23" s="6" t="str">
        <f t="shared" ca="1" si="17"/>
        <v>ECBBCN 23 Index</v>
      </c>
      <c r="BI23" s="6" t="str">
        <f t="shared" ca="1" si="18"/>
        <v>ECBBCN 24 Index</v>
      </c>
      <c r="BJ23" s="6" t="str">
        <f t="shared" ca="1" si="13"/>
        <v>ECBBCN 25 Index</v>
      </c>
      <c r="BK23" s="6" t="str">
        <f t="shared" ca="1" si="13"/>
        <v>ECBBCN 26 Index</v>
      </c>
      <c r="BL23" s="6" t="str">
        <f t="shared" ca="1" si="13"/>
        <v>ECBBCN 27 Index</v>
      </c>
    </row>
    <row r="24" spans="1:64" ht="18.75" customHeight="1" thickBot="1">
      <c r="A24" s="1" t="s">
        <v>67</v>
      </c>
      <c r="B24" s="1" t="s">
        <v>68</v>
      </c>
      <c r="C24" s="1" t="s">
        <v>50</v>
      </c>
      <c r="D24" s="1" t="s">
        <v>69</v>
      </c>
      <c r="E24" s="6" t="str">
        <f t="shared" ca="1" si="21"/>
        <v>ECGDIL 16 Index</v>
      </c>
      <c r="F24" s="6" t="str">
        <f t="shared" ca="1" si="21"/>
        <v>ECGDIL 17 Index</v>
      </c>
      <c r="G24" s="6" t="str">
        <f t="shared" ca="1" si="21"/>
        <v>ECGDIL 18 Index</v>
      </c>
      <c r="H24" s="6" t="str">
        <f t="shared" ca="1" si="21"/>
        <v>ECGDIL 19 Index</v>
      </c>
      <c r="I24" s="6" t="str">
        <f t="shared" ca="1" si="21"/>
        <v>ECGDIL 20 Index</v>
      </c>
      <c r="J24" s="6" t="str">
        <f t="shared" ca="1" si="21"/>
        <v>ECGDIL 21 Index</v>
      </c>
      <c r="K24" s="6" t="str">
        <f t="shared" ca="1" si="21"/>
        <v>ECGDIL 22 Index</v>
      </c>
      <c r="L24" s="6" t="str">
        <f t="shared" ca="1" si="21"/>
        <v>ECGDIL 23 Index</v>
      </c>
      <c r="M24" s="6" t="str">
        <f t="shared" ca="1" si="21"/>
        <v>ECGDIL 24 Index</v>
      </c>
      <c r="N24" s="6" t="str">
        <f t="shared" ca="1" si="21"/>
        <v>ECGDIL 25 Index</v>
      </c>
      <c r="O24" s="6" t="str">
        <f t="shared" ca="1" si="22"/>
        <v>ECGDIL 26 Index</v>
      </c>
      <c r="P24" s="6" t="str">
        <f t="shared" ca="1" si="22"/>
        <v>ECGDIL 27 Index</v>
      </c>
      <c r="Q24" s="6" t="str">
        <f t="shared" ca="1" si="21"/>
        <v>ECPIIL 16 Index</v>
      </c>
      <c r="R24" s="6" t="str">
        <f t="shared" ca="1" si="21"/>
        <v>ECPIIL 17 Index</v>
      </c>
      <c r="S24" s="6" t="str">
        <f t="shared" ca="1" si="21"/>
        <v>ECPIIL 18 Index</v>
      </c>
      <c r="T24" s="6" t="str">
        <f t="shared" ca="1" si="21"/>
        <v>ECPIIL 19 Index</v>
      </c>
      <c r="U24" s="6" t="str">
        <f t="shared" ca="1" si="21"/>
        <v>ECPIIL 20 Index</v>
      </c>
      <c r="V24" s="6" t="str">
        <f t="shared" ca="1" si="21"/>
        <v>ECPIIL 21 Index</v>
      </c>
      <c r="W24" s="6" t="str">
        <f t="shared" ca="1" si="16"/>
        <v>ECPIIL 22 Index</v>
      </c>
      <c r="X24" s="6" t="str">
        <f t="shared" ca="1" si="16"/>
        <v>ECPIIL 23 Index</v>
      </c>
      <c r="Y24" s="6" t="str">
        <f t="shared" ca="1" si="16"/>
        <v>ECPIIL 24 Index</v>
      </c>
      <c r="Z24" s="6" t="str">
        <f t="shared" ca="1" si="16"/>
        <v>ECPIIL 25 Index</v>
      </c>
      <c r="AA24" s="6" t="str">
        <f t="shared" ca="1" si="16"/>
        <v>ECPIIL 26 Index</v>
      </c>
      <c r="AB24" s="6" t="str">
        <f t="shared" ca="1" si="19"/>
        <v>ECPIIL 27 Index</v>
      </c>
      <c r="AC24" s="6" t="str">
        <f t="shared" ca="1" si="16"/>
        <v>ECUPIL 16 Index</v>
      </c>
      <c r="AD24" s="6" t="str">
        <f t="shared" ca="1" si="16"/>
        <v>ECUPIL 17 Index</v>
      </c>
      <c r="AE24" s="6" t="str">
        <f t="shared" ca="1" si="16"/>
        <v>ECUPIL 18 Index</v>
      </c>
      <c r="AF24" s="6" t="str">
        <f t="shared" ca="1" si="16"/>
        <v>ECUPIL 19 Index</v>
      </c>
      <c r="AG24" s="6" t="str">
        <f t="shared" ca="1" si="16"/>
        <v>ECUPIL 20 Index</v>
      </c>
      <c r="AH24" s="6" t="str">
        <f t="shared" ca="1" si="16"/>
        <v>ECUPIL 21 Index</v>
      </c>
      <c r="AI24" s="6" t="str">
        <f t="shared" ca="1" si="16"/>
        <v>ECUPIL 22 Index</v>
      </c>
      <c r="AJ24" s="6" t="str">
        <f t="shared" ca="1" si="16"/>
        <v>ECUPIL 23 Index</v>
      </c>
      <c r="AK24" s="6" t="str">
        <f t="shared" ca="1" si="16"/>
        <v>ECUPIL 24 Index</v>
      </c>
      <c r="AL24" s="6" t="str">
        <f t="shared" ca="1" si="16"/>
        <v>ECUPIL 25 Index</v>
      </c>
      <c r="AM24" s="6" t="str">
        <f t="shared" ca="1" si="10"/>
        <v>ECUPIL 26 Index</v>
      </c>
      <c r="AN24" s="6" t="str">
        <f t="shared" ca="1" si="10"/>
        <v>ECUPIL 27 Index</v>
      </c>
      <c r="AO24" s="6" t="str">
        <f t="shared" ca="1" si="16"/>
        <v>ECCAIL 16 Index</v>
      </c>
      <c r="AP24" s="6" t="str">
        <f t="shared" ca="1" si="16"/>
        <v>ECCAIL 17 Index</v>
      </c>
      <c r="AQ24" s="6" t="str">
        <f t="shared" ca="1" si="17"/>
        <v>ECCAIL 18 Index</v>
      </c>
      <c r="AR24" s="6" t="str">
        <f t="shared" ca="1" si="17"/>
        <v>ECCAIL 19 Index</v>
      </c>
      <c r="AS24" s="6" t="str">
        <f t="shared" ca="1" si="17"/>
        <v>ECCAIL 20 Index</v>
      </c>
      <c r="AT24" s="6" t="str">
        <f t="shared" ca="1" si="17"/>
        <v>ECCAIL 21 Index</v>
      </c>
      <c r="AU24" s="6" t="str">
        <f t="shared" ca="1" si="17"/>
        <v>ECCAIL 22 Index</v>
      </c>
      <c r="AV24" s="6" t="str">
        <f t="shared" ca="1" si="17"/>
        <v>ECCAIL 23 Index</v>
      </c>
      <c r="AW24" s="6" t="str">
        <f t="shared" ca="1" si="17"/>
        <v>ECCAIL 24 Index</v>
      </c>
      <c r="AX24" s="6" t="str">
        <f t="shared" ca="1" si="17"/>
        <v>ECCAIL 25 Index</v>
      </c>
      <c r="AY24" s="6" t="str">
        <f t="shared" ca="1" si="17"/>
        <v>ECCAIL 26 Index</v>
      </c>
      <c r="AZ24" s="6" t="str">
        <f t="shared" ca="1" si="20"/>
        <v>ECCAIL 27 Index</v>
      </c>
      <c r="BA24" s="6" t="str">
        <f t="shared" ca="1" si="17"/>
        <v>ECBBIL 16 Index</v>
      </c>
      <c r="BB24" s="6" t="str">
        <f t="shared" ca="1" si="17"/>
        <v>ECBBIL 17 Index</v>
      </c>
      <c r="BC24" s="6" t="str">
        <f t="shared" ca="1" si="17"/>
        <v>ECBBIL 18 Index</v>
      </c>
      <c r="BD24" s="6" t="str">
        <f t="shared" ca="1" si="17"/>
        <v>ECBBIL 19 Index</v>
      </c>
      <c r="BE24" s="6" t="str">
        <f t="shared" ca="1" si="17"/>
        <v>ECBBIL 20 Index</v>
      </c>
      <c r="BF24" s="6" t="str">
        <f t="shared" ca="1" si="17"/>
        <v>ECBBIL 21 Index</v>
      </c>
      <c r="BG24" s="6" t="str">
        <f t="shared" ca="1" si="17"/>
        <v>ECBBIL 22 Index</v>
      </c>
      <c r="BH24" s="6" t="str">
        <f t="shared" ca="1" si="17"/>
        <v>ECBBIL 23 Index</v>
      </c>
      <c r="BI24" s="6" t="str">
        <f t="shared" ca="1" si="18"/>
        <v>ECBBIL 24 Index</v>
      </c>
      <c r="BJ24" s="6" t="str">
        <f t="shared" ca="1" si="13"/>
        <v>ECBBIL 25 Index</v>
      </c>
      <c r="BK24" s="6" t="str">
        <f t="shared" ca="1" si="13"/>
        <v>ECBBIL 26 Index</v>
      </c>
      <c r="BL24" s="6" t="str">
        <f t="shared" ca="1" si="13"/>
        <v>ECBBIL 27 Index</v>
      </c>
    </row>
    <row r="25" spans="1:64" ht="18.75" customHeight="1" thickBot="1">
      <c r="A25" s="1" t="s">
        <v>70</v>
      </c>
      <c r="B25" s="1" t="s">
        <v>71</v>
      </c>
      <c r="C25" s="1" t="s">
        <v>50</v>
      </c>
      <c r="D25" s="1" t="s">
        <v>72</v>
      </c>
      <c r="E25" s="6" t="str">
        <f t="shared" ca="1" si="21"/>
        <v>ECGDKR 16 Index</v>
      </c>
      <c r="F25" s="6" t="str">
        <f t="shared" ca="1" si="21"/>
        <v>ECGDKR 17 Index</v>
      </c>
      <c r="G25" s="6" t="str">
        <f t="shared" ca="1" si="21"/>
        <v>ECGDKR 18 Index</v>
      </c>
      <c r="H25" s="6" t="str">
        <f t="shared" ca="1" si="21"/>
        <v>ECGDKR 19 Index</v>
      </c>
      <c r="I25" s="6" t="str">
        <f t="shared" ca="1" si="21"/>
        <v>ECGDKR 20 Index</v>
      </c>
      <c r="J25" s="6" t="str">
        <f t="shared" ca="1" si="21"/>
        <v>ECGDKR 21 Index</v>
      </c>
      <c r="K25" s="6" t="str">
        <f t="shared" ca="1" si="21"/>
        <v>ECGDKR 22 Index</v>
      </c>
      <c r="L25" s="6" t="str">
        <f t="shared" ca="1" si="21"/>
        <v>ECGDKR 23 Index</v>
      </c>
      <c r="M25" s="6" t="str">
        <f t="shared" ca="1" si="21"/>
        <v>ECGDKR 24 Index</v>
      </c>
      <c r="N25" s="6" t="str">
        <f t="shared" ca="1" si="21"/>
        <v>ECGDKR 25 Index</v>
      </c>
      <c r="O25" s="6" t="str">
        <f t="shared" ca="1" si="22"/>
        <v>ECGDKR 26 Index</v>
      </c>
      <c r="P25" s="6" t="str">
        <f t="shared" ca="1" si="22"/>
        <v>ECGDKR 27 Index</v>
      </c>
      <c r="Q25" s="6" t="str">
        <f t="shared" ca="1" si="21"/>
        <v>ECPIKR 16 Index</v>
      </c>
      <c r="R25" s="6" t="str">
        <f t="shared" ca="1" si="21"/>
        <v>ECPIKR 17 Index</v>
      </c>
      <c r="S25" s="6" t="str">
        <f t="shared" ca="1" si="21"/>
        <v>ECPIKR 18 Index</v>
      </c>
      <c r="T25" s="6" t="str">
        <f t="shared" ca="1" si="21"/>
        <v>ECPIKR 19 Index</v>
      </c>
      <c r="U25" s="6" t="str">
        <f t="shared" ca="1" si="21"/>
        <v>ECPIKR 20 Index</v>
      </c>
      <c r="V25" s="6" t="str">
        <f t="shared" ca="1" si="21"/>
        <v>ECPIKR 21 Index</v>
      </c>
      <c r="W25" s="6" t="str">
        <f t="shared" ca="1" si="16"/>
        <v>ECPIKR 22 Index</v>
      </c>
      <c r="X25" s="6" t="str">
        <f t="shared" ca="1" si="16"/>
        <v>ECPIKR 23 Index</v>
      </c>
      <c r="Y25" s="6" t="str">
        <f t="shared" ca="1" si="16"/>
        <v>ECPIKR 24 Index</v>
      </c>
      <c r="Z25" s="6" t="str">
        <f t="shared" ca="1" si="16"/>
        <v>ECPIKR 25 Index</v>
      </c>
      <c r="AA25" s="6" t="str">
        <f t="shared" ca="1" si="16"/>
        <v>ECPIKR 26 Index</v>
      </c>
      <c r="AB25" s="6" t="str">
        <f t="shared" ca="1" si="19"/>
        <v>ECPIKR 27 Index</v>
      </c>
      <c r="AC25" s="6" t="str">
        <f t="shared" ca="1" si="16"/>
        <v>ECUPKR 16 Index</v>
      </c>
      <c r="AD25" s="6" t="str">
        <f t="shared" ca="1" si="16"/>
        <v>ECUPKR 17 Index</v>
      </c>
      <c r="AE25" s="6" t="str">
        <f t="shared" ca="1" si="16"/>
        <v>ECUPKR 18 Index</v>
      </c>
      <c r="AF25" s="6" t="str">
        <f t="shared" ca="1" si="16"/>
        <v>ECUPKR 19 Index</v>
      </c>
      <c r="AG25" s="6" t="str">
        <f t="shared" ca="1" si="16"/>
        <v>ECUPKR 20 Index</v>
      </c>
      <c r="AH25" s="6" t="str">
        <f t="shared" ca="1" si="16"/>
        <v>ECUPKR 21 Index</v>
      </c>
      <c r="AI25" s="6" t="str">
        <f t="shared" ca="1" si="16"/>
        <v>ECUPKR 22 Index</v>
      </c>
      <c r="AJ25" s="6" t="str">
        <f t="shared" ca="1" si="16"/>
        <v>ECUPKR 23 Index</v>
      </c>
      <c r="AK25" s="6" t="str">
        <f t="shared" ca="1" si="16"/>
        <v>ECUPKR 24 Index</v>
      </c>
      <c r="AL25" s="6" t="str">
        <f t="shared" ca="1" si="16"/>
        <v>ECUPKR 25 Index</v>
      </c>
      <c r="AM25" s="6" t="str">
        <f t="shared" ca="1" si="10"/>
        <v>ECUPKR 26 Index</v>
      </c>
      <c r="AN25" s="6" t="str">
        <f t="shared" ca="1" si="10"/>
        <v>ECUPKR 27 Index</v>
      </c>
      <c r="AO25" s="6" t="str">
        <f t="shared" ca="1" si="16"/>
        <v>ECCAKR 16 Index</v>
      </c>
      <c r="AP25" s="6" t="str">
        <f t="shared" ca="1" si="16"/>
        <v>ECCAKR 17 Index</v>
      </c>
      <c r="AQ25" s="6" t="str">
        <f t="shared" ca="1" si="17"/>
        <v>ECCAKR 18 Index</v>
      </c>
      <c r="AR25" s="6" t="str">
        <f t="shared" ca="1" si="17"/>
        <v>ECCAKR 19 Index</v>
      </c>
      <c r="AS25" s="6" t="str">
        <f t="shared" ca="1" si="17"/>
        <v>ECCAKR 20 Index</v>
      </c>
      <c r="AT25" s="6" t="str">
        <f t="shared" ca="1" si="17"/>
        <v>ECCAKR 21 Index</v>
      </c>
      <c r="AU25" s="6" t="str">
        <f t="shared" ca="1" si="17"/>
        <v>ECCAKR 22 Index</v>
      </c>
      <c r="AV25" s="6" t="str">
        <f t="shared" ca="1" si="17"/>
        <v>ECCAKR 23 Index</v>
      </c>
      <c r="AW25" s="6" t="str">
        <f t="shared" ca="1" si="17"/>
        <v>ECCAKR 24 Index</v>
      </c>
      <c r="AX25" s="6" t="str">
        <f t="shared" ca="1" si="17"/>
        <v>ECCAKR 25 Index</v>
      </c>
      <c r="AY25" s="6" t="str">
        <f t="shared" ca="1" si="17"/>
        <v>ECCAKR 26 Index</v>
      </c>
      <c r="AZ25" s="6" t="str">
        <f t="shared" ca="1" si="20"/>
        <v>ECCAKR 27 Index</v>
      </c>
      <c r="BA25" s="6" t="str">
        <f t="shared" ca="1" si="17"/>
        <v>ECBBKR 16 Index</v>
      </c>
      <c r="BB25" s="6" t="str">
        <f t="shared" ca="1" si="17"/>
        <v>ECBBKR 17 Index</v>
      </c>
      <c r="BC25" s="6" t="str">
        <f t="shared" ca="1" si="17"/>
        <v>ECBBKR 18 Index</v>
      </c>
      <c r="BD25" s="6" t="str">
        <f t="shared" ca="1" si="17"/>
        <v>ECBBKR 19 Index</v>
      </c>
      <c r="BE25" s="6" t="str">
        <f t="shared" ca="1" si="17"/>
        <v>ECBBKR 20 Index</v>
      </c>
      <c r="BF25" s="6" t="str">
        <f t="shared" ca="1" si="17"/>
        <v>ECBBKR 21 Index</v>
      </c>
      <c r="BG25" s="6" t="str">
        <f t="shared" ca="1" si="17"/>
        <v>ECBBKR 22 Index</v>
      </c>
      <c r="BH25" s="6" t="str">
        <f t="shared" ca="1" si="17"/>
        <v>ECBBKR 23 Index</v>
      </c>
      <c r="BI25" s="6" t="str">
        <f t="shared" ca="1" si="18"/>
        <v>ECBBKR 24 Index</v>
      </c>
      <c r="BJ25" s="6" t="str">
        <f t="shared" ca="1" si="13"/>
        <v>ECBBKR 25 Index</v>
      </c>
      <c r="BK25" s="6" t="str">
        <f t="shared" ca="1" si="13"/>
        <v>ECBBKR 26 Index</v>
      </c>
      <c r="BL25" s="6" t="str">
        <f t="shared" ca="1" si="13"/>
        <v>ECBBKR 27 Index</v>
      </c>
    </row>
    <row r="26" spans="1:64" ht="18.75" customHeight="1" thickBot="1">
      <c r="A26" s="1" t="s">
        <v>73</v>
      </c>
      <c r="B26" s="1" t="s">
        <v>74</v>
      </c>
      <c r="C26" s="1" t="s">
        <v>50</v>
      </c>
      <c r="D26" s="1" t="s">
        <v>75</v>
      </c>
      <c r="E26" s="6" t="str">
        <f t="shared" ca="1" si="21"/>
        <v>ECGDPH 16 Index</v>
      </c>
      <c r="F26" s="6" t="str">
        <f t="shared" ca="1" si="21"/>
        <v>ECGDPH 17 Index</v>
      </c>
      <c r="G26" s="6" t="str">
        <f t="shared" ca="1" si="21"/>
        <v>ECGDPH 18 Index</v>
      </c>
      <c r="H26" s="6" t="str">
        <f t="shared" ca="1" si="21"/>
        <v>ECGDPH 19 Index</v>
      </c>
      <c r="I26" s="6" t="str">
        <f t="shared" ca="1" si="21"/>
        <v>ECGDPH 20 Index</v>
      </c>
      <c r="J26" s="6" t="str">
        <f t="shared" ca="1" si="21"/>
        <v>ECGDPH 21 Index</v>
      </c>
      <c r="K26" s="6" t="str">
        <f t="shared" ca="1" si="21"/>
        <v>ECGDPH 22 Index</v>
      </c>
      <c r="L26" s="6" t="str">
        <f t="shared" ca="1" si="21"/>
        <v>ECGDPH 23 Index</v>
      </c>
      <c r="M26" s="6" t="str">
        <f t="shared" ca="1" si="21"/>
        <v>ECGDPH 24 Index</v>
      </c>
      <c r="N26" s="6" t="str">
        <f t="shared" ca="1" si="21"/>
        <v>ECGDPH 25 Index</v>
      </c>
      <c r="O26" s="6" t="str">
        <f t="shared" ca="1" si="22"/>
        <v>ECGDPH 26 Index</v>
      </c>
      <c r="P26" s="6" t="str">
        <f t="shared" ca="1" si="22"/>
        <v>ECGDPH 27 Index</v>
      </c>
      <c r="Q26" s="6" t="str">
        <f t="shared" ca="1" si="21"/>
        <v>ECPIPH 16 Index</v>
      </c>
      <c r="R26" s="6" t="str">
        <f t="shared" ca="1" si="21"/>
        <v>ECPIPH 17 Index</v>
      </c>
      <c r="S26" s="6" t="str">
        <f t="shared" ca="1" si="21"/>
        <v>ECPIPH 18 Index</v>
      </c>
      <c r="T26" s="6" t="str">
        <f t="shared" ca="1" si="21"/>
        <v>ECPIPH 19 Index</v>
      </c>
      <c r="U26" s="6" t="str">
        <f t="shared" ca="1" si="21"/>
        <v>ECPIPH 20 Index</v>
      </c>
      <c r="V26" s="6" t="str">
        <f t="shared" ca="1" si="21"/>
        <v>ECPIPH 21 Index</v>
      </c>
      <c r="W26" s="6" t="str">
        <f t="shared" ca="1" si="16"/>
        <v>ECPIPH 22 Index</v>
      </c>
      <c r="X26" s="6" t="str">
        <f t="shared" ca="1" si="16"/>
        <v>ECPIPH 23 Index</v>
      </c>
      <c r="Y26" s="6" t="str">
        <f t="shared" ca="1" si="16"/>
        <v>ECPIPH 24 Index</v>
      </c>
      <c r="Z26" s="6" t="str">
        <f t="shared" ca="1" si="16"/>
        <v>ECPIPH 25 Index</v>
      </c>
      <c r="AA26" s="6" t="str">
        <f t="shared" ca="1" si="16"/>
        <v>ECPIPH 26 Index</v>
      </c>
      <c r="AB26" s="6" t="str">
        <f t="shared" ca="1" si="19"/>
        <v>ECPIPH 27 Index</v>
      </c>
      <c r="AC26" s="6" t="str">
        <f t="shared" ca="1" si="16"/>
        <v>ECUPPH 16 Index</v>
      </c>
      <c r="AD26" s="6" t="str">
        <f t="shared" ca="1" si="16"/>
        <v>ECUPPH 17 Index</v>
      </c>
      <c r="AE26" s="6" t="str">
        <f t="shared" ca="1" si="16"/>
        <v>ECUPPH 18 Index</v>
      </c>
      <c r="AF26" s="6" t="str">
        <f t="shared" ca="1" si="16"/>
        <v>ECUPPH 19 Index</v>
      </c>
      <c r="AG26" s="6" t="str">
        <f t="shared" ca="1" si="16"/>
        <v>ECUPPH 20 Index</v>
      </c>
      <c r="AH26" s="6" t="str">
        <f t="shared" ca="1" si="16"/>
        <v>ECUPPH 21 Index</v>
      </c>
      <c r="AI26" s="6" t="str">
        <f t="shared" ca="1" si="16"/>
        <v>ECUPPH 22 Index</v>
      </c>
      <c r="AJ26" s="6" t="str">
        <f t="shared" ca="1" si="16"/>
        <v>ECUPPH 23 Index</v>
      </c>
      <c r="AK26" s="6" t="str">
        <f t="shared" ca="1" si="16"/>
        <v>ECUPPH 24 Index</v>
      </c>
      <c r="AL26" s="6" t="str">
        <f t="shared" ca="1" si="16"/>
        <v>ECUPPH 25 Index</v>
      </c>
      <c r="AM26" s="6" t="str">
        <f t="shared" ca="1" si="10"/>
        <v>ECUPPH 26 Index</v>
      </c>
      <c r="AN26" s="6" t="str">
        <f t="shared" ca="1" si="10"/>
        <v>ECUPPH 27 Index</v>
      </c>
      <c r="AO26" s="6" t="str">
        <f t="shared" ca="1" si="16"/>
        <v>ECCAPH 16 Index</v>
      </c>
      <c r="AP26" s="6" t="str">
        <f t="shared" ca="1" si="16"/>
        <v>ECCAPH 17 Index</v>
      </c>
      <c r="AQ26" s="6" t="str">
        <f t="shared" ca="1" si="17"/>
        <v>ECCAPH 18 Index</v>
      </c>
      <c r="AR26" s="6" t="str">
        <f t="shared" ca="1" si="17"/>
        <v>ECCAPH 19 Index</v>
      </c>
      <c r="AS26" s="6" t="str">
        <f t="shared" ca="1" si="17"/>
        <v>ECCAPH 20 Index</v>
      </c>
      <c r="AT26" s="6" t="str">
        <f t="shared" ca="1" si="17"/>
        <v>ECCAPH 21 Index</v>
      </c>
      <c r="AU26" s="6" t="str">
        <f t="shared" ca="1" si="17"/>
        <v>ECCAPH 22 Index</v>
      </c>
      <c r="AV26" s="6" t="str">
        <f t="shared" ca="1" si="17"/>
        <v>ECCAPH 23 Index</v>
      </c>
      <c r="AW26" s="6" t="str">
        <f t="shared" ca="1" si="17"/>
        <v>ECCAPH 24 Index</v>
      </c>
      <c r="AX26" s="6" t="str">
        <f t="shared" ca="1" si="17"/>
        <v>ECCAPH 25 Index</v>
      </c>
      <c r="AY26" s="6" t="str">
        <f t="shared" ca="1" si="17"/>
        <v>ECCAPH 26 Index</v>
      </c>
      <c r="AZ26" s="6" t="str">
        <f t="shared" ca="1" si="20"/>
        <v>ECCAPH 27 Index</v>
      </c>
      <c r="BA26" s="6" t="str">
        <f t="shared" ca="1" si="17"/>
        <v>ECBBPH 16 Index</v>
      </c>
      <c r="BB26" s="6" t="str">
        <f t="shared" ca="1" si="17"/>
        <v>ECBBPH 17 Index</v>
      </c>
      <c r="BC26" s="6" t="str">
        <f t="shared" ca="1" si="17"/>
        <v>ECBBPH 18 Index</v>
      </c>
      <c r="BD26" s="6" t="str">
        <f t="shared" ca="1" si="17"/>
        <v>ECBBPH 19 Index</v>
      </c>
      <c r="BE26" s="6" t="str">
        <f t="shared" ca="1" si="17"/>
        <v>ECBBPH 20 Index</v>
      </c>
      <c r="BF26" s="6" t="str">
        <f t="shared" ca="1" si="17"/>
        <v>ECBBPH 21 Index</v>
      </c>
      <c r="BG26" s="6" t="str">
        <f t="shared" ca="1" si="17"/>
        <v>ECBBPH 22 Index</v>
      </c>
      <c r="BH26" s="6" t="str">
        <f t="shared" ca="1" si="17"/>
        <v>ECBBPH 23 Index</v>
      </c>
      <c r="BI26" s="6" t="str">
        <f t="shared" ca="1" si="18"/>
        <v>ECBBPH 24 Index</v>
      </c>
      <c r="BJ26" s="6" t="str">
        <f t="shared" ca="1" si="13"/>
        <v>ECBBPH 25 Index</v>
      </c>
      <c r="BK26" s="6" t="str">
        <f t="shared" ca="1" si="13"/>
        <v>ECBBPH 26 Index</v>
      </c>
      <c r="BL26" s="6" t="str">
        <f t="shared" ca="1" si="13"/>
        <v>ECBBPH 27 Index</v>
      </c>
    </row>
    <row r="27" spans="1:64" ht="18.75" customHeight="1" thickBot="1">
      <c r="A27" s="1" t="s">
        <v>76</v>
      </c>
      <c r="B27" s="1" t="s">
        <v>77</v>
      </c>
      <c r="C27" s="1" t="s">
        <v>50</v>
      </c>
      <c r="D27" s="5" t="s">
        <v>78</v>
      </c>
      <c r="E27" s="6" t="str">
        <f t="shared" ca="1" si="21"/>
        <v>ECGDMX 16 Index</v>
      </c>
      <c r="F27" s="6" t="str">
        <f t="shared" ca="1" si="21"/>
        <v>ECGDMX 17 Index</v>
      </c>
      <c r="G27" s="6" t="str">
        <f t="shared" ca="1" si="21"/>
        <v>ECGDMX 18 Index</v>
      </c>
      <c r="H27" s="6" t="str">
        <f t="shared" ca="1" si="21"/>
        <v>ECGDMX 19 Index</v>
      </c>
      <c r="I27" s="6" t="str">
        <f t="shared" ca="1" si="21"/>
        <v>ECGDMX 20 Index</v>
      </c>
      <c r="J27" s="6" t="str">
        <f t="shared" ca="1" si="21"/>
        <v>ECGDMX 21 Index</v>
      </c>
      <c r="K27" s="6" t="str">
        <f t="shared" ca="1" si="21"/>
        <v>ECGDMX 22 Index</v>
      </c>
      <c r="L27" s="6" t="str">
        <f t="shared" ca="1" si="21"/>
        <v>ECGDMX 23 Index</v>
      </c>
      <c r="M27" s="6" t="str">
        <f t="shared" ca="1" si="21"/>
        <v>ECGDMX 24 Index</v>
      </c>
      <c r="N27" s="6" t="str">
        <f t="shared" ca="1" si="21"/>
        <v>ECGDMX 25 Index</v>
      </c>
      <c r="O27" s="6" t="str">
        <f t="shared" ca="1" si="22"/>
        <v>ECGDMX 26 Index</v>
      </c>
      <c r="P27" s="6" t="str">
        <f t="shared" ca="1" si="22"/>
        <v>ECGDMX 27 Index</v>
      </c>
      <c r="Q27" s="6" t="str">
        <f t="shared" ca="1" si="21"/>
        <v>ECPIMX 16 Index</v>
      </c>
      <c r="R27" s="6" t="str">
        <f t="shared" ca="1" si="21"/>
        <v>ECPIMX 17 Index</v>
      </c>
      <c r="S27" s="6" t="str">
        <f t="shared" ca="1" si="21"/>
        <v>ECPIMX 18 Index</v>
      </c>
      <c r="T27" s="6" t="str">
        <f t="shared" ca="1" si="21"/>
        <v>ECPIMX 19 Index</v>
      </c>
      <c r="U27" s="6" t="str">
        <f t="shared" ca="1" si="21"/>
        <v>ECPIMX 20 Index</v>
      </c>
      <c r="V27" s="6" t="str">
        <f t="shared" ca="1" si="21"/>
        <v>ECPIMX 21 Index</v>
      </c>
      <c r="W27" s="6" t="str">
        <f t="shared" ca="1" si="16"/>
        <v>ECPIMX 22 Index</v>
      </c>
      <c r="X27" s="6" t="str">
        <f t="shared" ca="1" si="16"/>
        <v>ECPIMX 23 Index</v>
      </c>
      <c r="Y27" s="6" t="str">
        <f t="shared" ca="1" si="16"/>
        <v>ECPIMX 24 Index</v>
      </c>
      <c r="Z27" s="6" t="str">
        <f t="shared" ca="1" si="16"/>
        <v>ECPIMX 25 Index</v>
      </c>
      <c r="AA27" s="6" t="str">
        <f t="shared" ca="1" si="16"/>
        <v>ECPIMX 26 Index</v>
      </c>
      <c r="AB27" s="6" t="str">
        <f t="shared" ca="1" si="19"/>
        <v>ECPIMX 27 Index</v>
      </c>
      <c r="AC27" s="6" t="str">
        <f t="shared" ca="1" si="16"/>
        <v>ECUPMX 16 Index</v>
      </c>
      <c r="AD27" s="6" t="str">
        <f t="shared" ca="1" si="16"/>
        <v>ECUPMX 17 Index</v>
      </c>
      <c r="AE27" s="6" t="str">
        <f t="shared" ca="1" si="16"/>
        <v>ECUPMX 18 Index</v>
      </c>
      <c r="AF27" s="6" t="str">
        <f t="shared" ca="1" si="16"/>
        <v>ECUPMX 19 Index</v>
      </c>
      <c r="AG27" s="6" t="str">
        <f t="shared" ca="1" si="16"/>
        <v>ECUPMX 20 Index</v>
      </c>
      <c r="AH27" s="6" t="str">
        <f t="shared" ca="1" si="16"/>
        <v>ECUPMX 21 Index</v>
      </c>
      <c r="AI27" s="6" t="str">
        <f t="shared" ca="1" si="16"/>
        <v>ECUPMX 22 Index</v>
      </c>
      <c r="AJ27" s="6" t="str">
        <f t="shared" ca="1" si="16"/>
        <v>ECUPMX 23 Index</v>
      </c>
      <c r="AK27" s="6" t="str">
        <f t="shared" ca="1" si="16"/>
        <v>ECUPMX 24 Index</v>
      </c>
      <c r="AL27" s="6" t="str">
        <f t="shared" ca="1" si="16"/>
        <v>ECUPMX 25 Index</v>
      </c>
      <c r="AM27" s="6" t="str">
        <f t="shared" ca="1" si="10"/>
        <v>ECUPMX 26 Index</v>
      </c>
      <c r="AN27" s="6" t="str">
        <f t="shared" ca="1" si="10"/>
        <v>ECUPMX 27 Index</v>
      </c>
      <c r="AO27" s="6" t="str">
        <f t="shared" ca="1" si="16"/>
        <v>ECCAMX 16 Index</v>
      </c>
      <c r="AP27" s="6" t="str">
        <f t="shared" ca="1" si="16"/>
        <v>ECCAMX 17 Index</v>
      </c>
      <c r="AQ27" s="6" t="str">
        <f t="shared" ca="1" si="17"/>
        <v>ECCAMX 18 Index</v>
      </c>
      <c r="AR27" s="6" t="str">
        <f t="shared" ca="1" si="17"/>
        <v>ECCAMX 19 Index</v>
      </c>
      <c r="AS27" s="6" t="str">
        <f t="shared" ca="1" si="17"/>
        <v>ECCAMX 20 Index</v>
      </c>
      <c r="AT27" s="6" t="str">
        <f t="shared" ca="1" si="17"/>
        <v>ECCAMX 21 Index</v>
      </c>
      <c r="AU27" s="6" t="str">
        <f t="shared" ca="1" si="17"/>
        <v>ECCAMX 22 Index</v>
      </c>
      <c r="AV27" s="6" t="str">
        <f t="shared" ca="1" si="17"/>
        <v>ECCAMX 23 Index</v>
      </c>
      <c r="AW27" s="6" t="str">
        <f t="shared" ca="1" si="17"/>
        <v>ECCAMX 24 Index</v>
      </c>
      <c r="AX27" s="6" t="str">
        <f t="shared" ca="1" si="17"/>
        <v>ECCAMX 25 Index</v>
      </c>
      <c r="AY27" s="6" t="str">
        <f t="shared" ca="1" si="17"/>
        <v>ECCAMX 26 Index</v>
      </c>
      <c r="AZ27" s="6" t="str">
        <f t="shared" ca="1" si="20"/>
        <v>ECCAMX 27 Index</v>
      </c>
      <c r="BA27" s="6" t="str">
        <f t="shared" ca="1" si="17"/>
        <v>ECBBMX 16 Index</v>
      </c>
      <c r="BB27" s="6" t="str">
        <f t="shared" ca="1" si="17"/>
        <v>ECBBMX 17 Index</v>
      </c>
      <c r="BC27" s="6" t="str">
        <f t="shared" ca="1" si="17"/>
        <v>ECBBMX 18 Index</v>
      </c>
      <c r="BD27" s="6" t="str">
        <f t="shared" ca="1" si="17"/>
        <v>ECBBMX 19 Index</v>
      </c>
      <c r="BE27" s="6" t="str">
        <f t="shared" ca="1" si="17"/>
        <v>ECBBMX 20 Index</v>
      </c>
      <c r="BF27" s="6" t="str">
        <f t="shared" ca="1" si="17"/>
        <v>ECBBMX 21 Index</v>
      </c>
      <c r="BG27" s="6" t="str">
        <f t="shared" ca="1" si="17"/>
        <v>ECBBMX 22 Index</v>
      </c>
      <c r="BH27" s="6" t="str">
        <f t="shared" ca="1" si="17"/>
        <v>ECBBMX 23 Index</v>
      </c>
      <c r="BI27" s="6" t="str">
        <f t="shared" ca="1" si="18"/>
        <v>ECBBMX 24 Index</v>
      </c>
      <c r="BJ27" s="6" t="str">
        <f t="shared" ca="1" si="13"/>
        <v>ECBBMX 25 Index</v>
      </c>
      <c r="BK27" s="6" t="str">
        <f t="shared" ca="1" si="13"/>
        <v>ECBBMX 26 Index</v>
      </c>
      <c r="BL27" s="6" t="str">
        <f t="shared" ca="1" si="13"/>
        <v>ECBBMX 27 Index</v>
      </c>
    </row>
    <row r="28" spans="1:64" ht="18.75" customHeight="1" thickBot="1">
      <c r="A28" s="1" t="s">
        <v>79</v>
      </c>
      <c r="B28" s="1" t="s">
        <v>80</v>
      </c>
      <c r="C28" s="1" t="s">
        <v>50</v>
      </c>
      <c r="D28" s="1" t="s">
        <v>81</v>
      </c>
      <c r="E28" s="6" t="str">
        <f t="shared" ca="1" si="21"/>
        <v>ECGDBR 16 Index</v>
      </c>
      <c r="F28" s="6" t="str">
        <f t="shared" ca="1" si="21"/>
        <v>ECGDBR 17 Index</v>
      </c>
      <c r="G28" s="6" t="str">
        <f t="shared" ca="1" si="21"/>
        <v>ECGDBR 18 Index</v>
      </c>
      <c r="H28" s="6" t="str">
        <f t="shared" ca="1" si="21"/>
        <v>ECGDBR 19 Index</v>
      </c>
      <c r="I28" s="6" t="str">
        <f t="shared" ca="1" si="21"/>
        <v>ECGDBR 20 Index</v>
      </c>
      <c r="J28" s="6" t="str">
        <f t="shared" ca="1" si="21"/>
        <v>ECGDBR 21 Index</v>
      </c>
      <c r="K28" s="6" t="str">
        <f t="shared" ca="1" si="21"/>
        <v>ECGDBR 22 Index</v>
      </c>
      <c r="L28" s="6" t="str">
        <f t="shared" ca="1" si="21"/>
        <v>ECGDBR 23 Index</v>
      </c>
      <c r="M28" s="6" t="str">
        <f t="shared" ca="1" si="21"/>
        <v>ECGDBR 24 Index</v>
      </c>
      <c r="N28" s="6" t="str">
        <f t="shared" ca="1" si="21"/>
        <v>ECGDBR 25 Index</v>
      </c>
      <c r="O28" s="6" t="str">
        <f t="shared" ca="1" si="22"/>
        <v>ECGDBR 26 Index</v>
      </c>
      <c r="P28" s="6" t="str">
        <f t="shared" ca="1" si="22"/>
        <v>ECGDBR 27 Index</v>
      </c>
      <c r="Q28" s="6" t="str">
        <f t="shared" ca="1" si="21"/>
        <v>ECPIBR 16 Index</v>
      </c>
      <c r="R28" s="6" t="str">
        <f t="shared" ca="1" si="21"/>
        <v>ECPIBR 17 Index</v>
      </c>
      <c r="S28" s="6" t="str">
        <f t="shared" ca="1" si="21"/>
        <v>ECPIBR 18 Index</v>
      </c>
      <c r="T28" s="6" t="str">
        <f t="shared" ca="1" si="21"/>
        <v>ECPIBR 19 Index</v>
      </c>
      <c r="U28" s="6" t="str">
        <f t="shared" ca="1" si="21"/>
        <v>ECPIBR 20 Index</v>
      </c>
      <c r="V28" s="6" t="str">
        <f t="shared" ca="1" si="21"/>
        <v>ECPIBR 21 Index</v>
      </c>
      <c r="W28" s="6" t="str">
        <f t="shared" ca="1" si="16"/>
        <v>ECPIBR 22 Index</v>
      </c>
      <c r="X28" s="6" t="str">
        <f t="shared" ca="1" si="16"/>
        <v>ECPIBR 23 Index</v>
      </c>
      <c r="Y28" s="6" t="str">
        <f t="shared" ca="1" si="16"/>
        <v>ECPIBR 24 Index</v>
      </c>
      <c r="Z28" s="6" t="str">
        <f t="shared" ca="1" si="16"/>
        <v>ECPIBR 25 Index</v>
      </c>
      <c r="AA28" s="6" t="str">
        <f t="shared" ca="1" si="16"/>
        <v>ECPIBR 26 Index</v>
      </c>
      <c r="AB28" s="6" t="str">
        <f t="shared" ca="1" si="19"/>
        <v>ECPIBR 27 Index</v>
      </c>
      <c r="AC28" s="6" t="str">
        <f t="shared" ca="1" si="16"/>
        <v>ECUPBR 16 Index</v>
      </c>
      <c r="AD28" s="6" t="str">
        <f t="shared" ca="1" si="16"/>
        <v>ECUPBR 17 Index</v>
      </c>
      <c r="AE28" s="6" t="str">
        <f t="shared" ca="1" si="16"/>
        <v>ECUPBR 18 Index</v>
      </c>
      <c r="AF28" s="6" t="str">
        <f t="shared" ca="1" si="16"/>
        <v>ECUPBR 19 Index</v>
      </c>
      <c r="AG28" s="6" t="str">
        <f t="shared" ca="1" si="16"/>
        <v>ECUPBR 20 Index</v>
      </c>
      <c r="AH28" s="6" t="str">
        <f t="shared" ca="1" si="16"/>
        <v>ECUPBR 21 Index</v>
      </c>
      <c r="AI28" s="6" t="str">
        <f t="shared" ca="1" si="16"/>
        <v>ECUPBR 22 Index</v>
      </c>
      <c r="AJ28" s="6" t="str">
        <f t="shared" ca="1" si="16"/>
        <v>ECUPBR 23 Index</v>
      </c>
      <c r="AK28" s="6" t="str">
        <f t="shared" ca="1" si="16"/>
        <v>ECUPBR 24 Index</v>
      </c>
      <c r="AL28" s="6" t="str">
        <f t="shared" ca="1" si="16"/>
        <v>ECUPBR 25 Index</v>
      </c>
      <c r="AM28" s="6" t="str">
        <f t="shared" ca="1" si="10"/>
        <v>ECUPBR 26 Index</v>
      </c>
      <c r="AN28" s="6" t="str">
        <f t="shared" ca="1" si="10"/>
        <v>ECUPBR 27 Index</v>
      </c>
      <c r="AO28" s="6" t="str">
        <f t="shared" ca="1" si="16"/>
        <v>ECCABR 16 Index</v>
      </c>
      <c r="AP28" s="6" t="str">
        <f t="shared" ca="1" si="16"/>
        <v>ECCABR 17 Index</v>
      </c>
      <c r="AQ28" s="6" t="str">
        <f t="shared" ca="1" si="17"/>
        <v>ECCABR 18 Index</v>
      </c>
      <c r="AR28" s="6" t="str">
        <f t="shared" ca="1" si="17"/>
        <v>ECCABR 19 Index</v>
      </c>
      <c r="AS28" s="6" t="str">
        <f t="shared" ca="1" si="17"/>
        <v>ECCABR 20 Index</v>
      </c>
      <c r="AT28" s="6" t="str">
        <f t="shared" ca="1" si="17"/>
        <v>ECCABR 21 Index</v>
      </c>
      <c r="AU28" s="6" t="str">
        <f t="shared" ca="1" si="17"/>
        <v>ECCABR 22 Index</v>
      </c>
      <c r="AV28" s="6" t="str">
        <f t="shared" ca="1" si="17"/>
        <v>ECCABR 23 Index</v>
      </c>
      <c r="AW28" s="6" t="str">
        <f t="shared" ca="1" si="17"/>
        <v>ECCABR 24 Index</v>
      </c>
      <c r="AX28" s="6" t="str">
        <f t="shared" ca="1" si="17"/>
        <v>ECCABR 25 Index</v>
      </c>
      <c r="AY28" s="6" t="str">
        <f t="shared" ca="1" si="17"/>
        <v>ECCABR 26 Index</v>
      </c>
      <c r="AZ28" s="6" t="str">
        <f t="shared" ca="1" si="20"/>
        <v>ECCABR 27 Index</v>
      </c>
      <c r="BA28" s="6" t="str">
        <f t="shared" ca="1" si="17"/>
        <v>ECBBBR 16 Index</v>
      </c>
      <c r="BB28" s="6" t="str">
        <f t="shared" ca="1" si="17"/>
        <v>ECBBBR 17 Index</v>
      </c>
      <c r="BC28" s="6" t="str">
        <f t="shared" ca="1" si="17"/>
        <v>ECBBBR 18 Index</v>
      </c>
      <c r="BD28" s="6" t="str">
        <f t="shared" ca="1" si="17"/>
        <v>ECBBBR 19 Index</v>
      </c>
      <c r="BE28" s="6" t="str">
        <f t="shared" ca="1" si="17"/>
        <v>ECBBBR 20 Index</v>
      </c>
      <c r="BF28" s="6" t="str">
        <f t="shared" ca="1" si="17"/>
        <v>ECBBBR 21 Index</v>
      </c>
      <c r="BG28" s="6" t="str">
        <f t="shared" ca="1" si="17"/>
        <v>ECBBBR 22 Index</v>
      </c>
      <c r="BH28" s="6" t="str">
        <f t="shared" ca="1" si="17"/>
        <v>ECBBBR 23 Index</v>
      </c>
      <c r="BI28" s="6" t="str">
        <f t="shared" ca="1" si="18"/>
        <v>ECBBBR 24 Index</v>
      </c>
      <c r="BJ28" s="6" t="str">
        <f t="shared" ca="1" si="13"/>
        <v>ECBBBR 25 Index</v>
      </c>
      <c r="BK28" s="6" t="str">
        <f t="shared" ca="1" si="13"/>
        <v>ECBBBR 26 Index</v>
      </c>
      <c r="BL28" s="6" t="str">
        <f t="shared" ca="1" si="13"/>
        <v>ECBBBR 27 Index</v>
      </c>
    </row>
    <row r="29" spans="1:64" ht="18.75" customHeight="1" thickBot="1">
      <c r="A29" s="1" t="s">
        <v>82</v>
      </c>
      <c r="B29" s="1" t="s">
        <v>83</v>
      </c>
      <c r="C29" s="1" t="s">
        <v>50</v>
      </c>
      <c r="D29" s="5" t="s">
        <v>84</v>
      </c>
      <c r="E29" s="6" t="str">
        <f t="shared" ca="1" si="21"/>
        <v>ECGDCL 16 Index</v>
      </c>
      <c r="F29" s="6" t="str">
        <f t="shared" ca="1" si="21"/>
        <v>ECGDCL 17 Index</v>
      </c>
      <c r="G29" s="6" t="str">
        <f t="shared" ca="1" si="21"/>
        <v>ECGDCL 18 Index</v>
      </c>
      <c r="H29" s="6" t="str">
        <f t="shared" ca="1" si="21"/>
        <v>ECGDCL 19 Index</v>
      </c>
      <c r="I29" s="6" t="str">
        <f t="shared" ca="1" si="21"/>
        <v>ECGDCL 20 Index</v>
      </c>
      <c r="J29" s="6" t="str">
        <f t="shared" ca="1" si="21"/>
        <v>ECGDCL 21 Index</v>
      </c>
      <c r="K29" s="6" t="str">
        <f t="shared" ca="1" si="21"/>
        <v>ECGDCL 22 Index</v>
      </c>
      <c r="L29" s="6" t="str">
        <f t="shared" ca="1" si="21"/>
        <v>ECGDCL 23 Index</v>
      </c>
      <c r="M29" s="6" t="str">
        <f t="shared" ca="1" si="21"/>
        <v>ECGDCL 24 Index</v>
      </c>
      <c r="N29" s="6" t="str">
        <f t="shared" ca="1" si="21"/>
        <v>ECGDCL 25 Index</v>
      </c>
      <c r="O29" s="6" t="str">
        <f t="shared" ca="1" si="22"/>
        <v>ECGDCL 26 Index</v>
      </c>
      <c r="P29" s="6" t="str">
        <f t="shared" ca="1" si="22"/>
        <v>ECGDCL 27 Index</v>
      </c>
      <c r="Q29" s="6" t="str">
        <f t="shared" ca="1" si="21"/>
        <v>ECPICL 16 Index</v>
      </c>
      <c r="R29" s="6" t="str">
        <f t="shared" ca="1" si="21"/>
        <v>ECPICL 17 Index</v>
      </c>
      <c r="S29" s="6" t="str">
        <f t="shared" ca="1" si="21"/>
        <v>ECPICL 18 Index</v>
      </c>
      <c r="T29" s="6" t="str">
        <f t="shared" ca="1" si="21"/>
        <v>ECPICL 19 Index</v>
      </c>
      <c r="U29" s="6" t="str">
        <f t="shared" ca="1" si="21"/>
        <v>ECPICL 20 Index</v>
      </c>
      <c r="V29" s="6" t="str">
        <f t="shared" ca="1" si="21"/>
        <v>ECPICL 21 Index</v>
      </c>
      <c r="W29" s="6" t="str">
        <f t="shared" ca="1" si="16"/>
        <v>ECPICL 22 Index</v>
      </c>
      <c r="X29" s="6" t="str">
        <f t="shared" ca="1" si="16"/>
        <v>ECPICL 23 Index</v>
      </c>
      <c r="Y29" s="6" t="str">
        <f t="shared" ca="1" si="16"/>
        <v>ECPICL 24 Index</v>
      </c>
      <c r="Z29" s="6" t="str">
        <f t="shared" ca="1" si="16"/>
        <v>ECPICL 25 Index</v>
      </c>
      <c r="AA29" s="6" t="str">
        <f t="shared" ca="1" si="16"/>
        <v>ECPICL 26 Index</v>
      </c>
      <c r="AB29" s="6" t="str">
        <f t="shared" ca="1" si="19"/>
        <v>ECPICL 27 Index</v>
      </c>
      <c r="AC29" s="6" t="str">
        <f t="shared" ca="1" si="16"/>
        <v>ECUPCL 16 Index</v>
      </c>
      <c r="AD29" s="6" t="str">
        <f t="shared" ca="1" si="16"/>
        <v>ECUPCL 17 Index</v>
      </c>
      <c r="AE29" s="6" t="str">
        <f t="shared" ca="1" si="16"/>
        <v>ECUPCL 18 Index</v>
      </c>
      <c r="AF29" s="6" t="str">
        <f t="shared" ca="1" si="16"/>
        <v>ECUPCL 19 Index</v>
      </c>
      <c r="AG29" s="6" t="str">
        <f t="shared" ca="1" si="16"/>
        <v>ECUPCL 20 Index</v>
      </c>
      <c r="AH29" s="6" t="str">
        <f t="shared" ca="1" si="16"/>
        <v>ECUPCL 21 Index</v>
      </c>
      <c r="AI29" s="6" t="str">
        <f t="shared" ca="1" si="16"/>
        <v>ECUPCL 22 Index</v>
      </c>
      <c r="AJ29" s="6" t="str">
        <f t="shared" ca="1" si="16"/>
        <v>ECUPCL 23 Index</v>
      </c>
      <c r="AK29" s="6" t="str">
        <f t="shared" ca="1" si="16"/>
        <v>ECUPCL 24 Index</v>
      </c>
      <c r="AL29" s="6" t="str">
        <f t="shared" ca="1" si="16"/>
        <v>ECUPCL 25 Index</v>
      </c>
      <c r="AM29" s="6" t="str">
        <f t="shared" ca="1" si="10"/>
        <v>ECUPCL 26 Index</v>
      </c>
      <c r="AN29" s="6" t="str">
        <f t="shared" ca="1" si="10"/>
        <v>ECUPCL 27 Index</v>
      </c>
      <c r="AO29" s="6" t="str">
        <f t="shared" ca="1" si="16"/>
        <v>ECCACL 16 Index</v>
      </c>
      <c r="AP29" s="6" t="str">
        <f t="shared" ca="1" si="16"/>
        <v>ECCACL 17 Index</v>
      </c>
      <c r="AQ29" s="6" t="str">
        <f t="shared" ca="1" si="17"/>
        <v>ECCACL 18 Index</v>
      </c>
      <c r="AR29" s="6" t="str">
        <f t="shared" ca="1" si="17"/>
        <v>ECCACL 19 Index</v>
      </c>
      <c r="AS29" s="6" t="str">
        <f t="shared" ca="1" si="17"/>
        <v>ECCACL 20 Index</v>
      </c>
      <c r="AT29" s="6" t="str">
        <f t="shared" ca="1" si="17"/>
        <v>ECCACL 21 Index</v>
      </c>
      <c r="AU29" s="6" t="str">
        <f t="shared" ca="1" si="17"/>
        <v>ECCACL 22 Index</v>
      </c>
      <c r="AV29" s="6" t="str">
        <f t="shared" ca="1" si="17"/>
        <v>ECCACL 23 Index</v>
      </c>
      <c r="AW29" s="6" t="str">
        <f t="shared" ca="1" si="17"/>
        <v>ECCACL 24 Index</v>
      </c>
      <c r="AX29" s="6" t="str">
        <f t="shared" ca="1" si="17"/>
        <v>ECCACL 25 Index</v>
      </c>
      <c r="AY29" s="6" t="str">
        <f t="shared" ca="1" si="17"/>
        <v>ECCACL 26 Index</v>
      </c>
      <c r="AZ29" s="6" t="str">
        <f t="shared" ca="1" si="20"/>
        <v>ECCACL 27 Index</v>
      </c>
      <c r="BA29" s="6" t="str">
        <f t="shared" ca="1" si="17"/>
        <v>ECBBCL 16 Index</v>
      </c>
      <c r="BB29" s="6" t="str">
        <f t="shared" ca="1" si="17"/>
        <v>ECBBCL 17 Index</v>
      </c>
      <c r="BC29" s="6" t="str">
        <f t="shared" ca="1" si="17"/>
        <v>ECBBCL 18 Index</v>
      </c>
      <c r="BD29" s="6" t="str">
        <f t="shared" ca="1" si="17"/>
        <v>ECBBCL 19 Index</v>
      </c>
      <c r="BE29" s="6" t="str">
        <f t="shared" ca="1" si="17"/>
        <v>ECBBCL 20 Index</v>
      </c>
      <c r="BF29" s="6" t="str">
        <f t="shared" ca="1" si="17"/>
        <v>ECBBCL 21 Index</v>
      </c>
      <c r="BG29" s="6" t="str">
        <f t="shared" ca="1" si="17"/>
        <v>ECBBCL 22 Index</v>
      </c>
      <c r="BH29" s="6" t="str">
        <f t="shared" ca="1" si="17"/>
        <v>ECBBCL 23 Index</v>
      </c>
      <c r="BI29" s="6" t="str">
        <f t="shared" ca="1" si="18"/>
        <v>ECBBCL 24 Index</v>
      </c>
      <c r="BJ29" s="6" t="str">
        <f t="shared" ca="1" si="13"/>
        <v>ECBBCL 25 Index</v>
      </c>
      <c r="BK29" s="6" t="str">
        <f t="shared" ca="1" si="13"/>
        <v>ECBBCL 26 Index</v>
      </c>
      <c r="BL29" s="6" t="str">
        <f t="shared" ca="1" si="13"/>
        <v>ECBBCL 27 Index</v>
      </c>
    </row>
    <row r="30" spans="1:64" ht="18.75" customHeight="1" thickBot="1">
      <c r="A30" s="1" t="s">
        <v>85</v>
      </c>
      <c r="B30" s="1" t="s">
        <v>86</v>
      </c>
      <c r="C30" s="1" t="s">
        <v>50</v>
      </c>
      <c r="D30" s="1" t="s">
        <v>87</v>
      </c>
      <c r="E30" s="6" t="str">
        <f t="shared" ca="1" si="21"/>
        <v>ECGDCO 16 Index</v>
      </c>
      <c r="F30" s="6" t="str">
        <f t="shared" ca="1" si="21"/>
        <v>ECGDCO 17 Index</v>
      </c>
      <c r="G30" s="6" t="str">
        <f t="shared" ca="1" si="21"/>
        <v>ECGDCO 18 Index</v>
      </c>
      <c r="H30" s="6" t="str">
        <f t="shared" ca="1" si="21"/>
        <v>ECGDCO 19 Index</v>
      </c>
      <c r="I30" s="6" t="str">
        <f t="shared" ca="1" si="21"/>
        <v>ECGDCO 20 Index</v>
      </c>
      <c r="J30" s="6" t="str">
        <f t="shared" ca="1" si="21"/>
        <v>ECGDCO 21 Index</v>
      </c>
      <c r="K30" s="6" t="str">
        <f t="shared" ca="1" si="21"/>
        <v>ECGDCO 22 Index</v>
      </c>
      <c r="L30" s="6" t="str">
        <f t="shared" ca="1" si="21"/>
        <v>ECGDCO 23 Index</v>
      </c>
      <c r="M30" s="6" t="str">
        <f t="shared" ca="1" si="21"/>
        <v>ECGDCO 24 Index</v>
      </c>
      <c r="N30" s="6" t="str">
        <f t="shared" ca="1" si="21"/>
        <v>ECGDCO 25 Index</v>
      </c>
      <c r="O30" s="6" t="str">
        <f t="shared" ca="1" si="22"/>
        <v>ECGDCO 26 Index</v>
      </c>
      <c r="P30" s="6" t="str">
        <f t="shared" ca="1" si="22"/>
        <v>ECGDCO 27 Index</v>
      </c>
      <c r="Q30" s="6" t="str">
        <f t="shared" ca="1" si="21"/>
        <v>ECPICO 16 Index</v>
      </c>
      <c r="R30" s="6" t="str">
        <f t="shared" ca="1" si="21"/>
        <v>ECPICO 17 Index</v>
      </c>
      <c r="S30" s="6" t="str">
        <f t="shared" ca="1" si="21"/>
        <v>ECPICO 18 Index</v>
      </c>
      <c r="T30" s="6" t="str">
        <f t="shared" ca="1" si="21"/>
        <v>ECPICO 19 Index</v>
      </c>
      <c r="U30" s="6" t="str">
        <f t="shared" ca="1" si="21"/>
        <v>ECPICO 20 Index</v>
      </c>
      <c r="V30" s="6" t="str">
        <f t="shared" ca="1" si="21"/>
        <v>ECPICO 21 Index</v>
      </c>
      <c r="W30" s="6" t="str">
        <f t="shared" ca="1" si="16"/>
        <v>ECPICO 22 Index</v>
      </c>
      <c r="X30" s="6" t="str">
        <f t="shared" ca="1" si="16"/>
        <v>ECPICO 23 Index</v>
      </c>
      <c r="Y30" s="6" t="str">
        <f t="shared" ca="1" si="16"/>
        <v>ECPICO 24 Index</v>
      </c>
      <c r="Z30" s="6" t="str">
        <f t="shared" ca="1" si="16"/>
        <v>ECPICO 25 Index</v>
      </c>
      <c r="AA30" s="6" t="str">
        <f t="shared" ca="1" si="16"/>
        <v>ECPICO 26 Index</v>
      </c>
      <c r="AB30" s="6" t="str">
        <f t="shared" ca="1" si="19"/>
        <v>ECPICO 27 Index</v>
      </c>
      <c r="AC30" s="6" t="str">
        <f t="shared" ca="1" si="16"/>
        <v>ECUPCO 16 Index</v>
      </c>
      <c r="AD30" s="6" t="str">
        <f t="shared" ca="1" si="16"/>
        <v>ECUPCO 17 Index</v>
      </c>
      <c r="AE30" s="6" t="str">
        <f t="shared" ca="1" si="16"/>
        <v>ECUPCO 18 Index</v>
      </c>
      <c r="AF30" s="6" t="str">
        <f t="shared" ca="1" si="16"/>
        <v>ECUPCO 19 Index</v>
      </c>
      <c r="AG30" s="6" t="str">
        <f t="shared" ca="1" si="16"/>
        <v>ECUPCO 20 Index</v>
      </c>
      <c r="AH30" s="6" t="str">
        <f t="shared" ca="1" si="16"/>
        <v>ECUPCO 21 Index</v>
      </c>
      <c r="AI30" s="6" t="str">
        <f t="shared" ca="1" si="16"/>
        <v>ECUPCO 22 Index</v>
      </c>
      <c r="AJ30" s="6" t="str">
        <f t="shared" ca="1" si="16"/>
        <v>ECUPCO 23 Index</v>
      </c>
      <c r="AK30" s="6" t="str">
        <f t="shared" ca="1" si="16"/>
        <v>ECUPCO 24 Index</v>
      </c>
      <c r="AL30" s="6" t="str">
        <f t="shared" ca="1" si="16"/>
        <v>ECUPCO 25 Index</v>
      </c>
      <c r="AM30" s="6" t="str">
        <f t="shared" ca="1" si="10"/>
        <v>ECUPCO 26 Index</v>
      </c>
      <c r="AN30" s="6" t="str">
        <f t="shared" ca="1" si="10"/>
        <v>ECUPCO 27 Index</v>
      </c>
      <c r="AO30" s="6" t="str">
        <f t="shared" ca="1" si="16"/>
        <v>ECCACO 16 Index</v>
      </c>
      <c r="AP30" s="6" t="str">
        <f t="shared" ca="1" si="16"/>
        <v>ECCACO 17 Index</v>
      </c>
      <c r="AQ30" s="6" t="str">
        <f t="shared" ca="1" si="17"/>
        <v>ECCACO 18 Index</v>
      </c>
      <c r="AR30" s="6" t="str">
        <f t="shared" ca="1" si="17"/>
        <v>ECCACO 19 Index</v>
      </c>
      <c r="AS30" s="6" t="str">
        <f t="shared" ca="1" si="17"/>
        <v>ECCACO 20 Index</v>
      </c>
      <c r="AT30" s="6" t="str">
        <f t="shared" ca="1" si="17"/>
        <v>ECCACO 21 Index</v>
      </c>
      <c r="AU30" s="6" t="str">
        <f t="shared" ca="1" si="17"/>
        <v>ECCACO 22 Index</v>
      </c>
      <c r="AV30" s="6" t="str">
        <f t="shared" ca="1" si="17"/>
        <v>ECCACO 23 Index</v>
      </c>
      <c r="AW30" s="6" t="str">
        <f t="shared" ca="1" si="17"/>
        <v>ECCACO 24 Index</v>
      </c>
      <c r="AX30" s="6" t="str">
        <f t="shared" ca="1" si="17"/>
        <v>ECCACO 25 Index</v>
      </c>
      <c r="AY30" s="6" t="str">
        <f t="shared" ca="1" si="17"/>
        <v>ECCACO 26 Index</v>
      </c>
      <c r="AZ30" s="6" t="str">
        <f t="shared" ca="1" si="20"/>
        <v>ECCACO 27 Index</v>
      </c>
      <c r="BA30" s="6" t="str">
        <f t="shared" ca="1" si="17"/>
        <v>ECBBCO 16 Index</v>
      </c>
      <c r="BB30" s="6" t="str">
        <f t="shared" ca="1" si="17"/>
        <v>ECBBCO 17 Index</v>
      </c>
      <c r="BC30" s="6" t="str">
        <f t="shared" ca="1" si="17"/>
        <v>ECBBCO 18 Index</v>
      </c>
      <c r="BD30" s="6" t="str">
        <f t="shared" ca="1" si="17"/>
        <v>ECBBCO 19 Index</v>
      </c>
      <c r="BE30" s="6" t="str">
        <f t="shared" ca="1" si="17"/>
        <v>ECBBCO 20 Index</v>
      </c>
      <c r="BF30" s="6" t="str">
        <f t="shared" ca="1" si="17"/>
        <v>ECBBCO 21 Index</v>
      </c>
      <c r="BG30" s="6" t="str">
        <f t="shared" ca="1" si="17"/>
        <v>ECBBCO 22 Index</v>
      </c>
      <c r="BH30" s="6" t="str">
        <f t="shared" ca="1" si="17"/>
        <v>ECBBCO 23 Index</v>
      </c>
      <c r="BI30" s="6" t="str">
        <f t="shared" ca="1" si="18"/>
        <v>ECBBCO 24 Index</v>
      </c>
      <c r="BJ30" s="6" t="str">
        <f t="shared" ca="1" si="13"/>
        <v>ECBBCO 25 Index</v>
      </c>
      <c r="BK30" s="6" t="str">
        <f t="shared" ca="1" si="13"/>
        <v>ECBBCO 26 Index</v>
      </c>
      <c r="BL30" s="6" t="str">
        <f t="shared" ca="1" si="13"/>
        <v>ECBBCO 27 Index</v>
      </c>
    </row>
    <row r="31" spans="1:64" ht="18.75" customHeight="1" thickBot="1">
      <c r="A31" s="1" t="s">
        <v>88</v>
      </c>
      <c r="B31" s="1" t="s">
        <v>89</v>
      </c>
      <c r="C31" s="1" t="s">
        <v>50</v>
      </c>
      <c r="D31" s="5" t="s">
        <v>260</v>
      </c>
      <c r="E31" s="6" t="str">
        <f t="shared" ca="1" si="21"/>
        <v>ECGDIN 16 Index</v>
      </c>
      <c r="F31" s="6" t="str">
        <f t="shared" ca="1" si="21"/>
        <v>ECGDIN 17 Index</v>
      </c>
      <c r="G31" s="6" t="str">
        <f t="shared" ca="1" si="21"/>
        <v>ECGDIN 18 Index</v>
      </c>
      <c r="H31" s="6" t="str">
        <f t="shared" ca="1" si="21"/>
        <v>ECGDIN 19 Index</v>
      </c>
      <c r="I31" s="6" t="str">
        <f t="shared" ca="1" si="21"/>
        <v>ECGDIN 20 Index</v>
      </c>
      <c r="J31" s="6" t="str">
        <f t="shared" ca="1" si="21"/>
        <v>ECGDIN 21 Index</v>
      </c>
      <c r="K31" s="6" t="str">
        <f t="shared" ca="1" si="21"/>
        <v>ECGDIN 22 Index</v>
      </c>
      <c r="L31" s="6" t="str">
        <f t="shared" ca="1" si="21"/>
        <v>ECGDIN 23 Index</v>
      </c>
      <c r="M31" s="6" t="str">
        <f t="shared" ca="1" si="21"/>
        <v>ECGDIN 24 Index</v>
      </c>
      <c r="N31" s="6" t="str">
        <f t="shared" ca="1" si="21"/>
        <v>ECGDIN 25 Index</v>
      </c>
      <c r="O31" s="6" t="str">
        <f t="shared" ca="1" si="22"/>
        <v>ECGDIN 26 Index</v>
      </c>
      <c r="P31" s="6" t="str">
        <f t="shared" ca="1" si="22"/>
        <v>ECGDIN 27 Index</v>
      </c>
      <c r="Q31" s="6" t="str">
        <f t="shared" ca="1" si="21"/>
        <v>ECPIIN 16 Index</v>
      </c>
      <c r="R31" s="6" t="str">
        <f t="shared" ca="1" si="21"/>
        <v>ECPIIN 17 Index</v>
      </c>
      <c r="S31" s="6" t="str">
        <f t="shared" ca="1" si="21"/>
        <v>ECPIIN 18 Index</v>
      </c>
      <c r="T31" s="6" t="str">
        <f t="shared" ca="1" si="21"/>
        <v>ECPIIN 19 Index</v>
      </c>
      <c r="U31" s="6" t="str">
        <f t="shared" ca="1" si="21"/>
        <v>ECPIIN 20 Index</v>
      </c>
      <c r="V31" s="6" t="str">
        <f t="shared" ca="1" si="21"/>
        <v>ECPIIN 21 Index</v>
      </c>
      <c r="W31" s="6" t="str">
        <f t="shared" ca="1" si="16"/>
        <v>ECPIIN 22 Index</v>
      </c>
      <c r="X31" s="6" t="str">
        <f t="shared" ca="1" si="16"/>
        <v>ECPIIN 23 Index</v>
      </c>
      <c r="Y31" s="6" t="str">
        <f t="shared" ca="1" si="16"/>
        <v>ECPIIN 24 Index</v>
      </c>
      <c r="Z31" s="6" t="str">
        <f t="shared" ca="1" si="16"/>
        <v>ECPIIN 25 Index</v>
      </c>
      <c r="AA31" s="6" t="str">
        <f t="shared" ca="1" si="16"/>
        <v>ECPIIN 26 Index</v>
      </c>
      <c r="AB31" s="6" t="str">
        <f t="shared" ca="1" si="19"/>
        <v>ECPIIN 27 Index</v>
      </c>
      <c r="AC31" s="6" t="str">
        <f t="shared" ca="1" si="16"/>
        <v>ECUPIN 16 Index</v>
      </c>
      <c r="AD31" s="6" t="str">
        <f t="shared" ca="1" si="16"/>
        <v>ECUPIN 17 Index</v>
      </c>
      <c r="AE31" s="6" t="str">
        <f t="shared" ca="1" si="16"/>
        <v>ECUPIN 18 Index</v>
      </c>
      <c r="AF31" s="6" t="str">
        <f t="shared" ca="1" si="16"/>
        <v>ECUPIN 19 Index</v>
      </c>
      <c r="AG31" s="6" t="str">
        <f t="shared" ca="1" si="16"/>
        <v>ECUPIN 20 Index</v>
      </c>
      <c r="AH31" s="6" t="str">
        <f t="shared" ca="1" si="16"/>
        <v>ECUPIN 21 Index</v>
      </c>
      <c r="AI31" s="6" t="str">
        <f t="shared" ca="1" si="16"/>
        <v>ECUPIN 22 Index</v>
      </c>
      <c r="AJ31" s="6" t="str">
        <f t="shared" ca="1" si="16"/>
        <v>ECUPIN 23 Index</v>
      </c>
      <c r="AK31" s="6" t="str">
        <f t="shared" ca="1" si="16"/>
        <v>ECUPIN 24 Index</v>
      </c>
      <c r="AL31" s="6" t="str">
        <f t="shared" ca="1" si="16"/>
        <v>ECUPIN 25 Index</v>
      </c>
      <c r="AM31" s="6" t="str">
        <f t="shared" ca="1" si="10"/>
        <v>ECUPIN 26 Index</v>
      </c>
      <c r="AN31" s="6" t="str">
        <f t="shared" ca="1" si="10"/>
        <v>ECUPIN 27 Index</v>
      </c>
      <c r="AO31" s="6" t="str">
        <f t="shared" ca="1" si="16"/>
        <v>ECCAIN 16 Index</v>
      </c>
      <c r="AP31" s="6" t="str">
        <f t="shared" ca="1" si="16"/>
        <v>ECCAIN 17 Index</v>
      </c>
      <c r="AQ31" s="6" t="str">
        <f t="shared" ca="1" si="17"/>
        <v>ECCAIN 18 Index</v>
      </c>
      <c r="AR31" s="6" t="str">
        <f t="shared" ca="1" si="17"/>
        <v>ECCAIN 19 Index</v>
      </c>
      <c r="AS31" s="6" t="str">
        <f t="shared" ca="1" si="17"/>
        <v>ECCAIN 20 Index</v>
      </c>
      <c r="AT31" s="6" t="str">
        <f t="shared" ca="1" si="17"/>
        <v>ECCAIN 21 Index</v>
      </c>
      <c r="AU31" s="6" t="str">
        <f t="shared" ca="1" si="17"/>
        <v>ECCAIN 22 Index</v>
      </c>
      <c r="AV31" s="6" t="str">
        <f t="shared" ca="1" si="17"/>
        <v>ECCAIN 23 Index</v>
      </c>
      <c r="AW31" s="6" t="str">
        <f t="shared" ca="1" si="17"/>
        <v>ECCAIN 24 Index</v>
      </c>
      <c r="AX31" s="6" t="str">
        <f t="shared" ca="1" si="17"/>
        <v>ECCAIN 25 Index</v>
      </c>
      <c r="AY31" s="6" t="str">
        <f t="shared" ca="1" si="17"/>
        <v>ECCAIN 26 Index</v>
      </c>
      <c r="AZ31" s="6" t="str">
        <f t="shared" ca="1" si="20"/>
        <v>ECCAIN 27 Index</v>
      </c>
      <c r="BA31" s="6" t="str">
        <f t="shared" ca="1" si="17"/>
        <v>ECBBIN 16 Index</v>
      </c>
      <c r="BB31" s="6" t="str">
        <f t="shared" ca="1" si="17"/>
        <v>ECBBIN 17 Index</v>
      </c>
      <c r="BC31" s="6" t="str">
        <f t="shared" ca="1" si="17"/>
        <v>ECBBIN 18 Index</v>
      </c>
      <c r="BD31" s="6" t="str">
        <f t="shared" ca="1" si="17"/>
        <v>ECBBIN 19 Index</v>
      </c>
      <c r="BE31" s="6" t="str">
        <f t="shared" ca="1" si="17"/>
        <v>ECBBIN 20 Index</v>
      </c>
      <c r="BF31" s="6" t="str">
        <f t="shared" ca="1" si="17"/>
        <v>ECBBIN 21 Index</v>
      </c>
      <c r="BG31" s="6" t="str">
        <f t="shared" ca="1" si="17"/>
        <v>ECBBIN 22 Index</v>
      </c>
      <c r="BH31" s="6" t="str">
        <f t="shared" ca="1" si="17"/>
        <v>ECBBIN 23 Index</v>
      </c>
      <c r="BI31" s="6" t="str">
        <f t="shared" ca="1" si="18"/>
        <v>ECBBIN 24 Index</v>
      </c>
      <c r="BJ31" s="6" t="str">
        <f t="shared" ca="1" si="13"/>
        <v>ECBBIN 25 Index</v>
      </c>
      <c r="BK31" s="6" t="str">
        <f t="shared" ca="1" si="13"/>
        <v>ECBBIN 26 Index</v>
      </c>
      <c r="BL31" s="6" t="str">
        <f t="shared" ca="1" si="13"/>
        <v>ECBBIN 27 Index</v>
      </c>
    </row>
    <row r="32" spans="1:64" ht="18.75" customHeight="1" thickBot="1">
      <c r="A32" s="1" t="s">
        <v>90</v>
      </c>
      <c r="B32" s="1" t="s">
        <v>91</v>
      </c>
      <c r="C32" s="1" t="s">
        <v>50</v>
      </c>
      <c r="D32" s="5" t="s">
        <v>92</v>
      </c>
      <c r="E32" s="6" t="str">
        <f t="shared" ca="1" si="21"/>
        <v>ECGDRU 16 Index</v>
      </c>
      <c r="F32" s="6" t="str">
        <f t="shared" ca="1" si="21"/>
        <v>ECGDRU 17 Index</v>
      </c>
      <c r="G32" s="6" t="str">
        <f t="shared" ca="1" si="21"/>
        <v>ECGDRU 18 Index</v>
      </c>
      <c r="H32" s="6" t="str">
        <f t="shared" ca="1" si="21"/>
        <v>ECGDRU 19 Index</v>
      </c>
      <c r="I32" s="6" t="str">
        <f t="shared" ca="1" si="21"/>
        <v>ECGDRU 20 Index</v>
      </c>
      <c r="J32" s="6" t="str">
        <f t="shared" ca="1" si="21"/>
        <v>ECGDRU 21 Index</v>
      </c>
      <c r="K32" s="6" t="str">
        <f t="shared" ca="1" si="21"/>
        <v>ECGDRU 22 Index</v>
      </c>
      <c r="L32" s="6" t="str">
        <f t="shared" ca="1" si="21"/>
        <v>ECGDRU 23 Index</v>
      </c>
      <c r="M32" s="6" t="str">
        <f t="shared" ca="1" si="21"/>
        <v>ECGDRU 24 Index</v>
      </c>
      <c r="N32" s="6" t="str">
        <f t="shared" ca="1" si="21"/>
        <v>ECGDRU 25 Index</v>
      </c>
      <c r="O32" s="6" t="str">
        <f t="shared" ca="1" si="22"/>
        <v>ECGDRU 26 Index</v>
      </c>
      <c r="P32" s="6" t="str">
        <f t="shared" ca="1" si="22"/>
        <v>ECGDRU 27 Index</v>
      </c>
      <c r="Q32" s="6" t="str">
        <f t="shared" ca="1" si="21"/>
        <v>ECPIRU 16 Index</v>
      </c>
      <c r="R32" s="6" t="str">
        <f t="shared" ca="1" si="21"/>
        <v>ECPIRU 17 Index</v>
      </c>
      <c r="S32" s="6" t="str">
        <f t="shared" ca="1" si="21"/>
        <v>ECPIRU 18 Index</v>
      </c>
      <c r="T32" s="6" t="str">
        <f t="shared" ca="1" si="21"/>
        <v>ECPIRU 19 Index</v>
      </c>
      <c r="U32" s="6" t="str">
        <f t="shared" ca="1" si="21"/>
        <v>ECPIRU 20 Index</v>
      </c>
      <c r="V32" s="6" t="str">
        <f t="shared" ca="1" si="21"/>
        <v>ECPIRU 21 Index</v>
      </c>
      <c r="W32" s="6" t="str">
        <f t="shared" ca="1" si="16"/>
        <v>ECPIRU 22 Index</v>
      </c>
      <c r="X32" s="6" t="str">
        <f t="shared" ca="1" si="16"/>
        <v>ECPIRU 23 Index</v>
      </c>
      <c r="Y32" s="6" t="str">
        <f t="shared" ca="1" si="16"/>
        <v>ECPIRU 24 Index</v>
      </c>
      <c r="Z32" s="6" t="str">
        <f t="shared" ca="1" si="16"/>
        <v>ECPIRU 25 Index</v>
      </c>
      <c r="AA32" s="6" t="str">
        <f t="shared" ca="1" si="16"/>
        <v>ECPIRU 26 Index</v>
      </c>
      <c r="AB32" s="6" t="str">
        <f t="shared" ca="1" si="19"/>
        <v>ECPIRU 27 Index</v>
      </c>
      <c r="AC32" s="6" t="str">
        <f t="shared" ca="1" si="16"/>
        <v>ECUPRU 16 Index</v>
      </c>
      <c r="AD32" s="6" t="str">
        <f t="shared" ca="1" si="16"/>
        <v>ECUPRU 17 Index</v>
      </c>
      <c r="AE32" s="6" t="str">
        <f t="shared" ca="1" si="16"/>
        <v>ECUPRU 18 Index</v>
      </c>
      <c r="AF32" s="6" t="str">
        <f t="shared" ca="1" si="16"/>
        <v>ECUPRU 19 Index</v>
      </c>
      <c r="AG32" s="6" t="str">
        <f t="shared" ca="1" si="16"/>
        <v>ECUPRU 20 Index</v>
      </c>
      <c r="AH32" s="6" t="str">
        <f t="shared" ca="1" si="16"/>
        <v>ECUPRU 21 Index</v>
      </c>
      <c r="AI32" s="6" t="str">
        <f t="shared" ca="1" si="16"/>
        <v>ECUPRU 22 Index</v>
      </c>
      <c r="AJ32" s="6" t="str">
        <f t="shared" ca="1" si="16"/>
        <v>ECUPRU 23 Index</v>
      </c>
      <c r="AK32" s="6" t="str">
        <f t="shared" ca="1" si="16"/>
        <v>ECUPRU 24 Index</v>
      </c>
      <c r="AL32" s="6" t="str">
        <f t="shared" ca="1" si="16"/>
        <v>ECUPRU 25 Index</v>
      </c>
      <c r="AM32" s="6" t="str">
        <f t="shared" ca="1" si="10"/>
        <v>ECUPRU 26 Index</v>
      </c>
      <c r="AN32" s="6" t="str">
        <f t="shared" ca="1" si="10"/>
        <v>ECUPRU 27 Index</v>
      </c>
      <c r="AO32" s="6" t="str">
        <f t="shared" ca="1" si="16"/>
        <v>ECCARU 16 Index</v>
      </c>
      <c r="AP32" s="6" t="str">
        <f t="shared" ca="1" si="16"/>
        <v>ECCARU 17 Index</v>
      </c>
      <c r="AQ32" s="6" t="str">
        <f t="shared" ca="1" si="17"/>
        <v>ECCARU 18 Index</v>
      </c>
      <c r="AR32" s="6" t="str">
        <f t="shared" ca="1" si="17"/>
        <v>ECCARU 19 Index</v>
      </c>
      <c r="AS32" s="6" t="str">
        <f t="shared" ca="1" si="17"/>
        <v>ECCARU 20 Index</v>
      </c>
      <c r="AT32" s="6" t="str">
        <f t="shared" ca="1" si="17"/>
        <v>ECCARU 21 Index</v>
      </c>
      <c r="AU32" s="6" t="str">
        <f t="shared" ca="1" si="17"/>
        <v>ECCARU 22 Index</v>
      </c>
      <c r="AV32" s="6" t="str">
        <f t="shared" ca="1" si="17"/>
        <v>ECCARU 23 Index</v>
      </c>
      <c r="AW32" s="6" t="str">
        <f t="shared" ca="1" si="17"/>
        <v>ECCARU 24 Index</v>
      </c>
      <c r="AX32" s="6" t="str">
        <f t="shared" ca="1" si="17"/>
        <v>ECCARU 25 Index</v>
      </c>
      <c r="AY32" s="6" t="str">
        <f t="shared" ca="1" si="17"/>
        <v>ECCARU 26 Index</v>
      </c>
      <c r="AZ32" s="6" t="str">
        <f t="shared" ca="1" si="20"/>
        <v>ECCARU 27 Index</v>
      </c>
      <c r="BA32" s="6" t="str">
        <f t="shared" ca="1" si="17"/>
        <v>ECBBRU 16 Index</v>
      </c>
      <c r="BB32" s="6" t="str">
        <f t="shared" ca="1" si="17"/>
        <v>ECBBRU 17 Index</v>
      </c>
      <c r="BC32" s="6" t="str">
        <f t="shared" ca="1" si="17"/>
        <v>ECBBRU 18 Index</v>
      </c>
      <c r="BD32" s="6" t="str">
        <f t="shared" ca="1" si="17"/>
        <v>ECBBRU 19 Index</v>
      </c>
      <c r="BE32" s="6" t="str">
        <f t="shared" ca="1" si="17"/>
        <v>ECBBRU 20 Index</v>
      </c>
      <c r="BF32" s="6" t="str">
        <f t="shared" ca="1" si="17"/>
        <v>ECBBRU 21 Index</v>
      </c>
      <c r="BG32" s="6" t="str">
        <f t="shared" ca="1" si="17"/>
        <v>ECBBRU 22 Index</v>
      </c>
      <c r="BH32" s="6" t="str">
        <f t="shared" ca="1" si="17"/>
        <v>ECBBRU 23 Index</v>
      </c>
      <c r="BI32" s="6" t="str">
        <f t="shared" ca="1" si="18"/>
        <v>ECBBRU 24 Index</v>
      </c>
      <c r="BJ32" s="6" t="str">
        <f t="shared" ca="1" si="13"/>
        <v>ECBBRU 25 Index</v>
      </c>
      <c r="BK32" s="6" t="str">
        <f t="shared" ca="1" si="13"/>
        <v>ECBBRU 26 Index</v>
      </c>
      <c r="BL32" s="6" t="str">
        <f t="shared" ca="1" si="13"/>
        <v>ECBBRU 27 Index</v>
      </c>
    </row>
    <row r="33" spans="1:64" ht="18.75" customHeight="1" thickBot="1">
      <c r="A33" s="1" t="s">
        <v>93</v>
      </c>
      <c r="B33" s="1" t="s">
        <v>94</v>
      </c>
      <c r="C33" s="1" t="s">
        <v>50</v>
      </c>
      <c r="D33" s="1" t="s">
        <v>95</v>
      </c>
      <c r="E33" s="6" t="str">
        <f t="shared" ca="1" si="21"/>
        <v>ECGDCZ 16 Index</v>
      </c>
      <c r="F33" s="6" t="str">
        <f t="shared" ca="1" si="21"/>
        <v>ECGDCZ 17 Index</v>
      </c>
      <c r="G33" s="6" t="str">
        <f t="shared" ca="1" si="21"/>
        <v>ECGDCZ 18 Index</v>
      </c>
      <c r="H33" s="6" t="str">
        <f t="shared" ca="1" si="21"/>
        <v>ECGDCZ 19 Index</v>
      </c>
      <c r="I33" s="6" t="str">
        <f t="shared" ca="1" si="21"/>
        <v>ECGDCZ 20 Index</v>
      </c>
      <c r="J33" s="6" t="str">
        <f t="shared" ca="1" si="21"/>
        <v>ECGDCZ 21 Index</v>
      </c>
      <c r="K33" s="6" t="str">
        <f t="shared" ca="1" si="21"/>
        <v>ECGDCZ 22 Index</v>
      </c>
      <c r="L33" s="6" t="str">
        <f t="shared" ca="1" si="21"/>
        <v>ECGDCZ 23 Index</v>
      </c>
      <c r="M33" s="6" t="str">
        <f t="shared" ca="1" si="21"/>
        <v>ECGDCZ 24 Index</v>
      </c>
      <c r="N33" s="6" t="str">
        <f t="shared" ca="1" si="21"/>
        <v>ECGDCZ 25 Index</v>
      </c>
      <c r="O33" s="6" t="str">
        <f t="shared" ca="1" si="22"/>
        <v>ECGDCZ 26 Index</v>
      </c>
      <c r="P33" s="6" t="str">
        <f t="shared" ca="1" si="22"/>
        <v>ECGDCZ 27 Index</v>
      </c>
      <c r="Q33" s="6" t="str">
        <f t="shared" ca="1" si="21"/>
        <v>ECPICZ 16 Index</v>
      </c>
      <c r="R33" s="6" t="str">
        <f t="shared" ca="1" si="21"/>
        <v>ECPICZ 17 Index</v>
      </c>
      <c r="S33" s="6" t="str">
        <f t="shared" ca="1" si="21"/>
        <v>ECPICZ 18 Index</v>
      </c>
      <c r="T33" s="6" t="str">
        <f t="shared" ca="1" si="21"/>
        <v>ECPICZ 19 Index</v>
      </c>
      <c r="U33" s="6" t="str">
        <f t="shared" ca="1" si="21"/>
        <v>ECPICZ 20 Index</v>
      </c>
      <c r="V33" s="6" t="str">
        <f t="shared" ca="1" si="21"/>
        <v>ECPICZ 21 Index</v>
      </c>
      <c r="W33" s="6" t="str">
        <f t="shared" ca="1" si="16"/>
        <v>ECPICZ 22 Index</v>
      </c>
      <c r="X33" s="6" t="str">
        <f t="shared" ca="1" si="16"/>
        <v>ECPICZ 23 Index</v>
      </c>
      <c r="Y33" s="6" t="str">
        <f t="shared" ca="1" si="16"/>
        <v>ECPICZ 24 Index</v>
      </c>
      <c r="Z33" s="6" t="str">
        <f t="shared" ca="1" si="16"/>
        <v>ECPICZ 25 Index</v>
      </c>
      <c r="AA33" s="6" t="str">
        <f t="shared" ca="1" si="16"/>
        <v>ECPICZ 26 Index</v>
      </c>
      <c r="AB33" s="6" t="str">
        <f t="shared" ca="1" si="19"/>
        <v>ECPICZ 27 Index</v>
      </c>
      <c r="AC33" s="6" t="str">
        <f t="shared" ca="1" si="16"/>
        <v>ECUPCZ 16 Index</v>
      </c>
      <c r="AD33" s="6" t="str">
        <f t="shared" ca="1" si="16"/>
        <v>ECUPCZ 17 Index</v>
      </c>
      <c r="AE33" s="6" t="str">
        <f t="shared" ca="1" si="16"/>
        <v>ECUPCZ 18 Index</v>
      </c>
      <c r="AF33" s="6" t="str">
        <f t="shared" ca="1" si="16"/>
        <v>ECUPCZ 19 Index</v>
      </c>
      <c r="AG33" s="6" t="str">
        <f t="shared" ca="1" si="16"/>
        <v>ECUPCZ 20 Index</v>
      </c>
      <c r="AH33" s="6" t="str">
        <f t="shared" ca="1" si="16"/>
        <v>ECUPCZ 21 Index</v>
      </c>
      <c r="AI33" s="6" t="str">
        <f t="shared" ca="1" si="16"/>
        <v>ECUPCZ 22 Index</v>
      </c>
      <c r="AJ33" s="6" t="str">
        <f t="shared" ca="1" si="16"/>
        <v>ECUPCZ 23 Index</v>
      </c>
      <c r="AK33" s="6" t="str">
        <f t="shared" ca="1" si="16"/>
        <v>ECUPCZ 24 Index</v>
      </c>
      <c r="AL33" s="6" t="str">
        <f t="shared" ca="1" si="16"/>
        <v>ECUPCZ 25 Index</v>
      </c>
      <c r="AM33" s="6" t="str">
        <f t="shared" ca="1" si="10"/>
        <v>ECUPCZ 26 Index</v>
      </c>
      <c r="AN33" s="6" t="str">
        <f t="shared" ca="1" si="10"/>
        <v>ECUPCZ 27 Index</v>
      </c>
      <c r="AO33" s="6" t="str">
        <f t="shared" ca="1" si="16"/>
        <v>ECCACZ 16 Index</v>
      </c>
      <c r="AP33" s="6" t="str">
        <f t="shared" ca="1" si="16"/>
        <v>ECCACZ 17 Index</v>
      </c>
      <c r="AQ33" s="6" t="str">
        <f t="shared" ca="1" si="17"/>
        <v>ECCACZ 18 Index</v>
      </c>
      <c r="AR33" s="6" t="str">
        <f t="shared" ca="1" si="17"/>
        <v>ECCACZ 19 Index</v>
      </c>
      <c r="AS33" s="6" t="str">
        <f t="shared" ca="1" si="17"/>
        <v>ECCACZ 20 Index</v>
      </c>
      <c r="AT33" s="6" t="str">
        <f t="shared" ca="1" si="17"/>
        <v>ECCACZ 21 Index</v>
      </c>
      <c r="AU33" s="6" t="str">
        <f t="shared" ca="1" si="17"/>
        <v>ECCACZ 22 Index</v>
      </c>
      <c r="AV33" s="6" t="str">
        <f t="shared" ca="1" si="17"/>
        <v>ECCACZ 23 Index</v>
      </c>
      <c r="AW33" s="6" t="str">
        <f t="shared" ca="1" si="17"/>
        <v>ECCACZ 24 Index</v>
      </c>
      <c r="AX33" s="6" t="str">
        <f t="shared" ca="1" si="17"/>
        <v>ECCACZ 25 Index</v>
      </c>
      <c r="AY33" s="6" t="str">
        <f t="shared" ca="1" si="17"/>
        <v>ECCACZ 26 Index</v>
      </c>
      <c r="AZ33" s="6" t="str">
        <f t="shared" ca="1" si="20"/>
        <v>ECCACZ 27 Index</v>
      </c>
      <c r="BA33" s="6" t="str">
        <f t="shared" ca="1" si="17"/>
        <v>ECBBCZ 16 Index</v>
      </c>
      <c r="BB33" s="6" t="str">
        <f t="shared" ca="1" si="17"/>
        <v>ECBBCZ 17 Index</v>
      </c>
      <c r="BC33" s="6" t="str">
        <f t="shared" ca="1" si="17"/>
        <v>ECBBCZ 18 Index</v>
      </c>
      <c r="BD33" s="6" t="str">
        <f t="shared" ca="1" si="17"/>
        <v>ECBBCZ 19 Index</v>
      </c>
      <c r="BE33" s="6" t="str">
        <f t="shared" ca="1" si="17"/>
        <v>ECBBCZ 20 Index</v>
      </c>
      <c r="BF33" s="6" t="str">
        <f t="shared" ca="1" si="17"/>
        <v>ECBBCZ 21 Index</v>
      </c>
      <c r="BG33" s="6" t="str">
        <f t="shared" ca="1" si="17"/>
        <v>ECBBCZ 22 Index</v>
      </c>
      <c r="BH33" s="6" t="str">
        <f t="shared" ca="1" si="17"/>
        <v>ECBBCZ 23 Index</v>
      </c>
      <c r="BI33" s="6" t="str">
        <f t="shared" ca="1" si="18"/>
        <v>ECBBCZ 24 Index</v>
      </c>
      <c r="BJ33" s="6" t="str">
        <f t="shared" ca="1" si="13"/>
        <v>ECBBCZ 25 Index</v>
      </c>
      <c r="BK33" s="6" t="str">
        <f t="shared" ca="1" si="13"/>
        <v>ECBBCZ 26 Index</v>
      </c>
      <c r="BL33" s="6" t="str">
        <f t="shared" ca="1" si="13"/>
        <v>ECBBCZ 27 Index</v>
      </c>
    </row>
    <row r="34" spans="1:64" ht="18.75" customHeight="1" thickBot="1">
      <c r="A34" s="1" t="s">
        <v>96</v>
      </c>
      <c r="B34" s="1" t="s">
        <v>97</v>
      </c>
      <c r="C34" s="1" t="s">
        <v>50</v>
      </c>
      <c r="D34" s="1" t="s">
        <v>98</v>
      </c>
      <c r="E34" s="6" t="str">
        <f t="shared" ca="1" si="21"/>
        <v>ECGDHU 16 Index</v>
      </c>
      <c r="F34" s="6" t="str">
        <f t="shared" ca="1" si="21"/>
        <v>ECGDHU 17 Index</v>
      </c>
      <c r="G34" s="6" t="str">
        <f t="shared" ca="1" si="21"/>
        <v>ECGDHU 18 Index</v>
      </c>
      <c r="H34" s="6" t="str">
        <f t="shared" ca="1" si="21"/>
        <v>ECGDHU 19 Index</v>
      </c>
      <c r="I34" s="6" t="str">
        <f t="shared" ca="1" si="21"/>
        <v>ECGDHU 20 Index</v>
      </c>
      <c r="J34" s="6" t="str">
        <f t="shared" ca="1" si="21"/>
        <v>ECGDHU 21 Index</v>
      </c>
      <c r="K34" s="6" t="str">
        <f t="shared" ca="1" si="21"/>
        <v>ECGDHU 22 Index</v>
      </c>
      <c r="L34" s="6" t="str">
        <f t="shared" ca="1" si="21"/>
        <v>ECGDHU 23 Index</v>
      </c>
      <c r="M34" s="6" t="str">
        <f t="shared" ca="1" si="21"/>
        <v>ECGDHU 24 Index</v>
      </c>
      <c r="N34" s="6" t="str">
        <f t="shared" ca="1" si="21"/>
        <v>ECGDHU 25 Index</v>
      </c>
      <c r="O34" s="6" t="str">
        <f t="shared" ca="1" si="22"/>
        <v>ECGDHU 26 Index</v>
      </c>
      <c r="P34" s="6" t="str">
        <f t="shared" ca="1" si="22"/>
        <v>ECGDHU 27 Index</v>
      </c>
      <c r="Q34" s="6" t="str">
        <f t="shared" ca="1" si="21"/>
        <v>ECPIHU 16 Index</v>
      </c>
      <c r="R34" s="6" t="str">
        <f t="shared" ca="1" si="21"/>
        <v>ECPIHU 17 Index</v>
      </c>
      <c r="S34" s="6" t="str">
        <f t="shared" ca="1" si="21"/>
        <v>ECPIHU 18 Index</v>
      </c>
      <c r="T34" s="6" t="str">
        <f t="shared" ca="1" si="21"/>
        <v>ECPIHU 19 Index</v>
      </c>
      <c r="U34" s="6" t="str">
        <f t="shared" ca="1" si="21"/>
        <v>ECPIHU 20 Index</v>
      </c>
      <c r="V34" s="6" t="str">
        <f t="shared" ca="1" si="21"/>
        <v>ECPIHU 21 Index</v>
      </c>
      <c r="W34" s="6" t="str">
        <f t="shared" ca="1" si="16"/>
        <v>ECPIHU 22 Index</v>
      </c>
      <c r="X34" s="6" t="str">
        <f t="shared" ca="1" si="16"/>
        <v>ECPIHU 23 Index</v>
      </c>
      <c r="Y34" s="6" t="str">
        <f t="shared" ca="1" si="16"/>
        <v>ECPIHU 24 Index</v>
      </c>
      <c r="Z34" s="6" t="str">
        <f t="shared" ca="1" si="16"/>
        <v>ECPIHU 25 Index</v>
      </c>
      <c r="AA34" s="6" t="str">
        <f t="shared" ref="AA34:AB34" ca="1" si="23">"EC"&amp;AA$1&amp;$A34&amp;" "&amp;AA$2&amp;" Index"</f>
        <v>ECPIHU 26 Index</v>
      </c>
      <c r="AB34" s="6" t="str">
        <f t="shared" ca="1" si="23"/>
        <v>ECPIHU 27 Index</v>
      </c>
      <c r="AC34" s="6" t="str">
        <f t="shared" ca="1" si="16"/>
        <v>ECUPHU 16 Index</v>
      </c>
      <c r="AD34" s="6" t="str">
        <f t="shared" ca="1" si="16"/>
        <v>ECUPHU 17 Index</v>
      </c>
      <c r="AE34" s="6" t="str">
        <f t="shared" ca="1" si="16"/>
        <v>ECUPHU 18 Index</v>
      </c>
      <c r="AF34" s="6" t="str">
        <f t="shared" ca="1" si="16"/>
        <v>ECUPHU 19 Index</v>
      </c>
      <c r="AG34" s="6" t="str">
        <f t="shared" ca="1" si="16"/>
        <v>ECUPHU 20 Index</v>
      </c>
      <c r="AH34" s="6" t="str">
        <f t="shared" ca="1" si="16"/>
        <v>ECUPHU 21 Index</v>
      </c>
      <c r="AI34" s="6" t="str">
        <f t="shared" ca="1" si="16"/>
        <v>ECUPHU 22 Index</v>
      </c>
      <c r="AJ34" s="6" t="str">
        <f t="shared" ca="1" si="16"/>
        <v>ECUPHU 23 Index</v>
      </c>
      <c r="AK34" s="6" t="str">
        <f t="shared" ca="1" si="16"/>
        <v>ECUPHU 24 Index</v>
      </c>
      <c r="AL34" s="6" t="str">
        <f t="shared" ca="1" si="16"/>
        <v>ECUPHU 25 Index</v>
      </c>
      <c r="AM34" s="6" t="str">
        <f t="shared" ca="1" si="10"/>
        <v>ECUPHU 26 Index</v>
      </c>
      <c r="AN34" s="6" t="str">
        <f t="shared" ca="1" si="10"/>
        <v>ECUPHU 27 Index</v>
      </c>
      <c r="AO34" s="6" t="str">
        <f t="shared" ca="1" si="16"/>
        <v>ECCAHU 16 Index</v>
      </c>
      <c r="AP34" s="6" t="str">
        <f t="shared" ca="1" si="16"/>
        <v>ECCAHU 17 Index</v>
      </c>
      <c r="AQ34" s="6" t="str">
        <f t="shared" ca="1" si="17"/>
        <v>ECCAHU 18 Index</v>
      </c>
      <c r="AR34" s="6" t="str">
        <f t="shared" ca="1" si="17"/>
        <v>ECCAHU 19 Index</v>
      </c>
      <c r="AS34" s="6" t="str">
        <f t="shared" ca="1" si="17"/>
        <v>ECCAHU 20 Index</v>
      </c>
      <c r="AT34" s="6" t="str">
        <f t="shared" ca="1" si="17"/>
        <v>ECCAHU 21 Index</v>
      </c>
      <c r="AU34" s="6" t="str">
        <f t="shared" ca="1" si="17"/>
        <v>ECCAHU 22 Index</v>
      </c>
      <c r="AV34" s="6" t="str">
        <f t="shared" ca="1" si="17"/>
        <v>ECCAHU 23 Index</v>
      </c>
      <c r="AW34" s="6" t="str">
        <f t="shared" ca="1" si="17"/>
        <v>ECCAHU 24 Index</v>
      </c>
      <c r="AX34" s="6" t="str">
        <f t="shared" ca="1" si="17"/>
        <v>ECCAHU 25 Index</v>
      </c>
      <c r="AY34" s="6" t="str">
        <f t="shared" ref="AY34:AZ34" ca="1" si="24">"EC"&amp;AY$1&amp;$A34&amp;" "&amp;AY$2&amp;" Index"</f>
        <v>ECCAHU 26 Index</v>
      </c>
      <c r="AZ34" s="6" t="str">
        <f t="shared" ca="1" si="24"/>
        <v>ECCAHU 27 Index</v>
      </c>
      <c r="BA34" s="6" t="str">
        <f t="shared" ca="1" si="17"/>
        <v>ECBBHU 16 Index</v>
      </c>
      <c r="BB34" s="6" t="str">
        <f t="shared" ca="1" si="17"/>
        <v>ECBBHU 17 Index</v>
      </c>
      <c r="BC34" s="6" t="str">
        <f t="shared" ca="1" si="17"/>
        <v>ECBBHU 18 Index</v>
      </c>
      <c r="BD34" s="6" t="str">
        <f t="shared" ca="1" si="17"/>
        <v>ECBBHU 19 Index</v>
      </c>
      <c r="BE34" s="6" t="str">
        <f t="shared" ca="1" si="17"/>
        <v>ECBBHU 20 Index</v>
      </c>
      <c r="BF34" s="6" t="str">
        <f t="shared" ca="1" si="17"/>
        <v>ECBBHU 21 Index</v>
      </c>
      <c r="BG34" s="6" t="str">
        <f t="shared" ca="1" si="17"/>
        <v>ECBBHU 22 Index</v>
      </c>
      <c r="BH34" s="6" t="str">
        <f t="shared" ca="1" si="17"/>
        <v>ECBBHU 23 Index</v>
      </c>
      <c r="BI34" s="6" t="str">
        <f t="shared" ca="1" si="18"/>
        <v>ECBBHU 24 Index</v>
      </c>
      <c r="BJ34" s="6" t="str">
        <f t="shared" ca="1" si="13"/>
        <v>ECBBHU 25 Index</v>
      </c>
      <c r="BK34" s="6" t="str">
        <f t="shared" ca="1" si="13"/>
        <v>ECBBHU 26 Index</v>
      </c>
      <c r="BL34" s="6" t="str">
        <f t="shared" ca="1" si="13"/>
        <v>ECBBHU 27 Index</v>
      </c>
    </row>
    <row r="35" spans="1:64" ht="18.75" customHeight="1" thickBot="1">
      <c r="A35" s="1" t="s">
        <v>99</v>
      </c>
      <c r="B35" s="1" t="s">
        <v>100</v>
      </c>
      <c r="C35" s="1" t="s">
        <v>50</v>
      </c>
      <c r="D35" s="1" t="s">
        <v>101</v>
      </c>
      <c r="E35" s="6" t="str">
        <f t="shared" ca="1" si="21"/>
        <v>ECGDPO 16 Index</v>
      </c>
      <c r="F35" s="6" t="str">
        <f t="shared" ca="1" si="21"/>
        <v>ECGDPO 17 Index</v>
      </c>
      <c r="G35" s="6" t="str">
        <f t="shared" ca="1" si="21"/>
        <v>ECGDPO 18 Index</v>
      </c>
      <c r="H35" s="6" t="str">
        <f t="shared" ca="1" si="21"/>
        <v>ECGDPO 19 Index</v>
      </c>
      <c r="I35" s="6" t="str">
        <f t="shared" ca="1" si="21"/>
        <v>ECGDPO 20 Index</v>
      </c>
      <c r="J35" s="6" t="str">
        <f t="shared" ca="1" si="21"/>
        <v>ECGDPO 21 Index</v>
      </c>
      <c r="K35" s="6" t="str">
        <f t="shared" ca="1" si="21"/>
        <v>ECGDPO 22 Index</v>
      </c>
      <c r="L35" s="6" t="str">
        <f t="shared" ca="1" si="21"/>
        <v>ECGDPO 23 Index</v>
      </c>
      <c r="M35" s="6" t="str">
        <f t="shared" ca="1" si="21"/>
        <v>ECGDPO 24 Index</v>
      </c>
      <c r="N35" s="6" t="str">
        <f t="shared" ca="1" si="21"/>
        <v>ECGDPO 25 Index</v>
      </c>
      <c r="O35" s="6" t="str">
        <f t="shared" ca="1" si="22"/>
        <v>ECGDPO 26 Index</v>
      </c>
      <c r="P35" s="6" t="str">
        <f t="shared" ca="1" si="22"/>
        <v>ECGDPO 27 Index</v>
      </c>
      <c r="Q35" s="6" t="str">
        <f t="shared" ca="1" si="21"/>
        <v>ECPIPO 16 Index</v>
      </c>
      <c r="R35" s="6" t="str">
        <f t="shared" ca="1" si="21"/>
        <v>ECPIPO 17 Index</v>
      </c>
      <c r="S35" s="6" t="str">
        <f t="shared" ca="1" si="21"/>
        <v>ECPIPO 18 Index</v>
      </c>
      <c r="T35" s="6" t="str">
        <f t="shared" ca="1" si="21"/>
        <v>ECPIPO 19 Index</v>
      </c>
      <c r="U35" s="6" t="str">
        <f t="shared" ca="1" si="21"/>
        <v>ECPIPO 20 Index</v>
      </c>
      <c r="V35" s="6" t="str">
        <f t="shared" ca="1" si="21"/>
        <v>ECPIPO 21 Index</v>
      </c>
      <c r="W35" s="6" t="str">
        <f t="shared" ref="W35:AP39" ca="1" si="25">"EC"&amp;W$1&amp;$A35&amp;" "&amp;W$2&amp;" Index"</f>
        <v>ECPIPO 22 Index</v>
      </c>
      <c r="X35" s="6" t="str">
        <f t="shared" ca="1" si="25"/>
        <v>ECPIPO 23 Index</v>
      </c>
      <c r="Y35" s="6" t="str">
        <f t="shared" ca="1" si="25"/>
        <v>ECPIPO 24 Index</v>
      </c>
      <c r="Z35" s="6" t="str">
        <f t="shared" ca="1" si="25"/>
        <v>ECPIPO 25 Index</v>
      </c>
      <c r="AA35" s="6" t="str">
        <f t="shared" ca="1" si="25"/>
        <v>ECPIPO 26 Index</v>
      </c>
      <c r="AB35" s="6" t="str">
        <f t="shared" ca="1" si="25"/>
        <v>ECPIPO 27 Index</v>
      </c>
      <c r="AC35" s="6" t="str">
        <f t="shared" ca="1" si="25"/>
        <v>ECUPPO 16 Index</v>
      </c>
      <c r="AD35" s="6" t="str">
        <f t="shared" ca="1" si="25"/>
        <v>ECUPPO 17 Index</v>
      </c>
      <c r="AE35" s="6" t="str">
        <f t="shared" ca="1" si="25"/>
        <v>ECUPPO 18 Index</v>
      </c>
      <c r="AF35" s="6" t="str">
        <f t="shared" ca="1" si="25"/>
        <v>ECUPPO 19 Index</v>
      </c>
      <c r="AG35" s="6" t="str">
        <f t="shared" ca="1" si="25"/>
        <v>ECUPPO 20 Index</v>
      </c>
      <c r="AH35" s="6" t="str">
        <f t="shared" ca="1" si="25"/>
        <v>ECUPPO 21 Index</v>
      </c>
      <c r="AI35" s="6" t="str">
        <f t="shared" ca="1" si="25"/>
        <v>ECUPPO 22 Index</v>
      </c>
      <c r="AJ35" s="6" t="str">
        <f t="shared" ca="1" si="25"/>
        <v>ECUPPO 23 Index</v>
      </c>
      <c r="AK35" s="6" t="str">
        <f t="shared" ca="1" si="25"/>
        <v>ECUPPO 24 Index</v>
      </c>
      <c r="AL35" s="6" t="str">
        <f t="shared" ca="1" si="25"/>
        <v>ECUPPO 25 Index</v>
      </c>
      <c r="AM35" s="6" t="str">
        <f t="shared" ca="1" si="25"/>
        <v>ECUPPO 26 Index</v>
      </c>
      <c r="AN35" s="6" t="str">
        <f t="shared" ca="1" si="25"/>
        <v>ECUPPO 27 Index</v>
      </c>
      <c r="AO35" s="6" t="str">
        <f t="shared" ca="1" si="25"/>
        <v>ECCAPO 16 Index</v>
      </c>
      <c r="AP35" s="6" t="str">
        <f t="shared" ca="1" si="25"/>
        <v>ECCAPO 17 Index</v>
      </c>
      <c r="AQ35" s="6" t="str">
        <f t="shared" ref="AQ35:BH39" ca="1" si="26">"EC"&amp;AQ$1&amp;$A35&amp;" "&amp;AQ$2&amp;" Index"</f>
        <v>ECCAPO 18 Index</v>
      </c>
      <c r="AR35" s="6" t="str">
        <f t="shared" ca="1" si="26"/>
        <v>ECCAPO 19 Index</v>
      </c>
      <c r="AS35" s="6" t="str">
        <f t="shared" ca="1" si="26"/>
        <v>ECCAPO 20 Index</v>
      </c>
      <c r="AT35" s="6" t="str">
        <f t="shared" ca="1" si="26"/>
        <v>ECCAPO 21 Index</v>
      </c>
      <c r="AU35" s="6" t="str">
        <f t="shared" ca="1" si="26"/>
        <v>ECCAPO 22 Index</v>
      </c>
      <c r="AV35" s="6" t="str">
        <f t="shared" ca="1" si="26"/>
        <v>ECCAPO 23 Index</v>
      </c>
      <c r="AW35" s="6" t="str">
        <f t="shared" ca="1" si="26"/>
        <v>ECCAPO 24 Index</v>
      </c>
      <c r="AX35" s="6" t="str">
        <f t="shared" ca="1" si="26"/>
        <v>ECCAPO 25 Index</v>
      </c>
      <c r="AY35" s="6" t="str">
        <f t="shared" ca="1" si="26"/>
        <v>ECCAPO 26 Index</v>
      </c>
      <c r="AZ35" s="6" t="str">
        <f t="shared" ca="1" si="26"/>
        <v>ECCAPO 27 Index</v>
      </c>
      <c r="BA35" s="6" t="str">
        <f t="shared" ca="1" si="26"/>
        <v>ECBBPO 16 Index</v>
      </c>
      <c r="BB35" s="6" t="str">
        <f t="shared" ca="1" si="26"/>
        <v>ECBBPO 17 Index</v>
      </c>
      <c r="BC35" s="6" t="str">
        <f t="shared" ca="1" si="26"/>
        <v>ECBBPO 18 Index</v>
      </c>
      <c r="BD35" s="6" t="str">
        <f t="shared" ca="1" si="26"/>
        <v>ECBBPO 19 Index</v>
      </c>
      <c r="BE35" s="6" t="str">
        <f t="shared" ca="1" si="26"/>
        <v>ECBBPO 20 Index</v>
      </c>
      <c r="BF35" s="6" t="str">
        <f t="shared" ca="1" si="26"/>
        <v>ECBBPO 21 Index</v>
      </c>
      <c r="BG35" s="6" t="str">
        <f t="shared" ca="1" si="26"/>
        <v>ECBBPO 22 Index</v>
      </c>
      <c r="BH35" s="6" t="str">
        <f t="shared" ca="1" si="26"/>
        <v>ECBBPO 23 Index</v>
      </c>
      <c r="BI35" s="6" t="str">
        <f t="shared" ca="1" si="18"/>
        <v>ECBBPO 24 Index</v>
      </c>
      <c r="BJ35" s="6" t="str">
        <f t="shared" ca="1" si="13"/>
        <v>ECBBPO 25 Index</v>
      </c>
      <c r="BK35" s="6" t="str">
        <f t="shared" ca="1" si="13"/>
        <v>ECBBPO 26 Index</v>
      </c>
      <c r="BL35" s="6" t="str">
        <f t="shared" ca="1" si="13"/>
        <v>ECBBPO 27 Index</v>
      </c>
    </row>
    <row r="36" spans="1:64" ht="18.75" customHeight="1">
      <c r="A36" s="1" t="s">
        <v>147</v>
      </c>
      <c r="B36" s="1" t="s">
        <v>104</v>
      </c>
      <c r="C36" s="1" t="s">
        <v>50</v>
      </c>
      <c r="D36" s="1" t="s">
        <v>157</v>
      </c>
      <c r="E36" s="9" t="str">
        <f t="shared" ca="1" si="21"/>
        <v>ECGDTW 16 Index</v>
      </c>
      <c r="F36" s="9" t="str">
        <f t="shared" ca="1" si="21"/>
        <v>ECGDTW 17 Index</v>
      </c>
      <c r="G36" s="9" t="str">
        <f t="shared" ca="1" si="21"/>
        <v>ECGDTW 18 Index</v>
      </c>
      <c r="H36" s="9" t="str">
        <f t="shared" ca="1" si="21"/>
        <v>ECGDTW 19 Index</v>
      </c>
      <c r="I36" s="9" t="str">
        <f t="shared" ca="1" si="21"/>
        <v>ECGDTW 20 Index</v>
      </c>
      <c r="J36" s="9" t="str">
        <f t="shared" ca="1" si="21"/>
        <v>ECGDTW 21 Index</v>
      </c>
      <c r="K36" s="9" t="str">
        <f t="shared" ca="1" si="21"/>
        <v>ECGDTW 22 Index</v>
      </c>
      <c r="L36" s="9" t="str">
        <f t="shared" ca="1" si="21"/>
        <v>ECGDTW 23 Index</v>
      </c>
      <c r="M36" s="9" t="str">
        <f t="shared" ca="1" si="21"/>
        <v>ECGDTW 24 Index</v>
      </c>
      <c r="N36" s="9" t="str">
        <f t="shared" ca="1" si="21"/>
        <v>ECGDTW 25 Index</v>
      </c>
      <c r="O36" s="9" t="str">
        <f t="shared" ca="1" si="22"/>
        <v>ECGDTW 26 Index</v>
      </c>
      <c r="P36" s="9" t="str">
        <f t="shared" ca="1" si="22"/>
        <v>ECGDTW 27 Index</v>
      </c>
      <c r="Q36" s="9" t="str">
        <f t="shared" ca="1" si="21"/>
        <v>ECPITW 16 Index</v>
      </c>
      <c r="R36" s="9" t="str">
        <f t="shared" ca="1" si="21"/>
        <v>ECPITW 17 Index</v>
      </c>
      <c r="S36" s="9" t="str">
        <f t="shared" ca="1" si="21"/>
        <v>ECPITW 18 Index</v>
      </c>
      <c r="T36" s="9" t="str">
        <f t="shared" ca="1" si="21"/>
        <v>ECPITW 19 Index</v>
      </c>
      <c r="U36" s="9" t="str">
        <f t="shared" ca="1" si="21"/>
        <v>ECPITW 20 Index</v>
      </c>
      <c r="V36" s="9" t="str">
        <f t="shared" ref="V36:V39" ca="1" si="27">"EC"&amp;V$1&amp;$A36&amp;" "&amp;V$2&amp;" Index"</f>
        <v>ECPITW 21 Index</v>
      </c>
      <c r="W36" s="9" t="str">
        <f t="shared" ca="1" si="25"/>
        <v>ECPITW 22 Index</v>
      </c>
      <c r="X36" s="9" t="str">
        <f t="shared" ca="1" si="25"/>
        <v>ECPITW 23 Index</v>
      </c>
      <c r="Y36" s="9" t="str">
        <f t="shared" ca="1" si="25"/>
        <v>ECPITW 24 Index</v>
      </c>
      <c r="Z36" s="9" t="str">
        <f t="shared" ca="1" si="25"/>
        <v>ECPITW 25 Index</v>
      </c>
      <c r="AA36" s="9" t="str">
        <f t="shared" ca="1" si="25"/>
        <v>ECPITW 26 Index</v>
      </c>
      <c r="AB36" s="9" t="str">
        <f t="shared" ca="1" si="25"/>
        <v>ECPITW 27 Index</v>
      </c>
      <c r="AC36" s="9" t="str">
        <f t="shared" ca="1" si="25"/>
        <v>ECUPTW 16 Index</v>
      </c>
      <c r="AD36" s="9" t="str">
        <f t="shared" ca="1" si="25"/>
        <v>ECUPTW 17 Index</v>
      </c>
      <c r="AE36" s="9" t="str">
        <f t="shared" ca="1" si="25"/>
        <v>ECUPTW 18 Index</v>
      </c>
      <c r="AF36" s="9" t="str">
        <f t="shared" ca="1" si="25"/>
        <v>ECUPTW 19 Index</v>
      </c>
      <c r="AG36" s="9" t="str">
        <f t="shared" ca="1" si="25"/>
        <v>ECUPTW 20 Index</v>
      </c>
      <c r="AH36" s="9" t="str">
        <f t="shared" ca="1" si="25"/>
        <v>ECUPTW 21 Index</v>
      </c>
      <c r="AI36" s="9" t="str">
        <f t="shared" ca="1" si="25"/>
        <v>ECUPTW 22 Index</v>
      </c>
      <c r="AJ36" s="9" t="str">
        <f t="shared" ca="1" si="25"/>
        <v>ECUPTW 23 Index</v>
      </c>
      <c r="AK36" s="9" t="str">
        <f t="shared" ca="1" si="25"/>
        <v>ECUPTW 24 Index</v>
      </c>
      <c r="AL36" s="9" t="str">
        <f t="shared" ca="1" si="25"/>
        <v>ECUPTW 25 Index</v>
      </c>
      <c r="AM36" s="9" t="str">
        <f t="shared" ca="1" si="25"/>
        <v>ECUPTW 26 Index</v>
      </c>
      <c r="AN36" s="9" t="str">
        <f t="shared" ca="1" si="25"/>
        <v>ECUPTW 27 Index</v>
      </c>
      <c r="AO36" s="9" t="str">
        <f t="shared" ca="1" si="25"/>
        <v>ECCATW 16 Index</v>
      </c>
      <c r="AP36" s="9" t="str">
        <f t="shared" ca="1" si="25"/>
        <v>ECCATW 17 Index</v>
      </c>
      <c r="AQ36" s="9" t="str">
        <f t="shared" ca="1" si="26"/>
        <v>ECCATW 18 Index</v>
      </c>
      <c r="AR36" s="9" t="str">
        <f t="shared" ca="1" si="26"/>
        <v>ECCATW 19 Index</v>
      </c>
      <c r="AS36" s="9" t="str">
        <f t="shared" ca="1" si="26"/>
        <v>ECCATW 20 Index</v>
      </c>
      <c r="AT36" s="9" t="str">
        <f t="shared" ca="1" si="26"/>
        <v>ECCATW 21 Index</v>
      </c>
      <c r="AU36" s="9" t="str">
        <f t="shared" ca="1" si="26"/>
        <v>ECCATW 22 Index</v>
      </c>
      <c r="AV36" s="9" t="str">
        <f t="shared" ca="1" si="26"/>
        <v>ECCATW 23 Index</v>
      </c>
      <c r="AW36" s="9" t="str">
        <f t="shared" ca="1" si="26"/>
        <v>ECCATW 24 Index</v>
      </c>
      <c r="AX36" s="9" t="str">
        <f t="shared" ca="1" si="26"/>
        <v>ECCATW 25 Index</v>
      </c>
      <c r="AY36" s="9" t="str">
        <f t="shared" ca="1" si="26"/>
        <v>ECCATW 26 Index</v>
      </c>
      <c r="AZ36" s="9" t="str">
        <f t="shared" ca="1" si="26"/>
        <v>ECCATW 27 Index</v>
      </c>
      <c r="BA36" s="9" t="str">
        <f t="shared" ca="1" si="26"/>
        <v>ECBBTW 16 Index</v>
      </c>
      <c r="BB36" s="9" t="str">
        <f t="shared" ca="1" si="26"/>
        <v>ECBBTW 17 Index</v>
      </c>
      <c r="BC36" s="9" t="str">
        <f t="shared" ca="1" si="26"/>
        <v>ECBBTW 18 Index</v>
      </c>
      <c r="BD36" s="9" t="str">
        <f t="shared" ca="1" si="26"/>
        <v>ECBBTW 19 Index</v>
      </c>
      <c r="BE36" s="9" t="str">
        <f t="shared" ca="1" si="26"/>
        <v>ECBBTW 20 Index</v>
      </c>
      <c r="BF36" s="9" t="str">
        <f t="shared" ca="1" si="26"/>
        <v>ECBBTW 21 Index</v>
      </c>
      <c r="BG36" s="9" t="str">
        <f t="shared" ca="1" si="26"/>
        <v>ECBBTW 22 Index</v>
      </c>
      <c r="BH36" s="9" t="str">
        <f t="shared" ca="1" si="26"/>
        <v>ECBBTW 23 Index</v>
      </c>
      <c r="BI36" s="9" t="str">
        <f t="shared" ca="1" si="18"/>
        <v>ECBBTW 24 Index</v>
      </c>
      <c r="BJ36" s="9" t="str">
        <f t="shared" ca="1" si="13"/>
        <v>ECBBTW 25 Index</v>
      </c>
      <c r="BK36" s="9" t="str">
        <f t="shared" ca="1" si="13"/>
        <v>ECBBTW 26 Index</v>
      </c>
      <c r="BL36" s="9" t="str">
        <f t="shared" ca="1" si="13"/>
        <v>ECBBTW 27 Index</v>
      </c>
    </row>
    <row r="37" spans="1:64" ht="18.75" customHeight="1">
      <c r="A37" s="1" t="s">
        <v>102</v>
      </c>
      <c r="B37" s="1" t="s">
        <v>103</v>
      </c>
      <c r="C37" s="1" t="s">
        <v>50</v>
      </c>
      <c r="D37" s="1" t="s">
        <v>158</v>
      </c>
      <c r="E37" s="9" t="str">
        <f t="shared" ref="E37:U39" ca="1" si="28">"EC"&amp;E$1&amp;$A37&amp;" "&amp;E$2&amp;" Index"</f>
        <v>ECGDVN 16 Index</v>
      </c>
      <c r="F37" s="9" t="str">
        <f t="shared" ca="1" si="28"/>
        <v>ECGDVN 17 Index</v>
      </c>
      <c r="G37" s="9" t="str">
        <f t="shared" ca="1" si="28"/>
        <v>ECGDVN 18 Index</v>
      </c>
      <c r="H37" s="9" t="str">
        <f t="shared" ca="1" si="28"/>
        <v>ECGDVN 19 Index</v>
      </c>
      <c r="I37" s="9" t="str">
        <f t="shared" ca="1" si="28"/>
        <v>ECGDVN 20 Index</v>
      </c>
      <c r="J37" s="9" t="str">
        <f t="shared" ca="1" si="28"/>
        <v>ECGDVN 21 Index</v>
      </c>
      <c r="K37" s="9" t="str">
        <f t="shared" ca="1" si="28"/>
        <v>ECGDVN 22 Index</v>
      </c>
      <c r="L37" s="9" t="str">
        <f t="shared" ca="1" si="28"/>
        <v>ECGDVN 23 Index</v>
      </c>
      <c r="M37" s="9" t="str">
        <f t="shared" ca="1" si="28"/>
        <v>ECGDVN 24 Index</v>
      </c>
      <c r="N37" s="9" t="str">
        <f t="shared" ca="1" si="28"/>
        <v>ECGDVN 25 Index</v>
      </c>
      <c r="O37" s="9" t="str">
        <f t="shared" ca="1" si="28"/>
        <v>ECGDVN 26 Index</v>
      </c>
      <c r="P37" s="9" t="str">
        <f t="shared" ca="1" si="28"/>
        <v>ECGDVN 27 Index</v>
      </c>
      <c r="Q37" s="9" t="str">
        <f t="shared" ca="1" si="28"/>
        <v>ECPIVN 16 Index</v>
      </c>
      <c r="R37" s="9" t="str">
        <f t="shared" ca="1" si="28"/>
        <v>ECPIVN 17 Index</v>
      </c>
      <c r="S37" s="9" t="str">
        <f t="shared" ca="1" si="28"/>
        <v>ECPIVN 18 Index</v>
      </c>
      <c r="T37" s="9" t="str">
        <f t="shared" ca="1" si="28"/>
        <v>ECPIVN 19 Index</v>
      </c>
      <c r="U37" s="9" t="str">
        <f t="shared" ca="1" si="28"/>
        <v>ECPIVN 20 Index</v>
      </c>
      <c r="V37" s="9" t="str">
        <f t="shared" ca="1" si="27"/>
        <v>ECPIVN 21 Index</v>
      </c>
      <c r="W37" s="9" t="str">
        <f t="shared" ca="1" si="25"/>
        <v>ECPIVN 22 Index</v>
      </c>
      <c r="X37" s="9" t="str">
        <f t="shared" ca="1" si="25"/>
        <v>ECPIVN 23 Index</v>
      </c>
      <c r="Y37" s="9" t="str">
        <f t="shared" ca="1" si="25"/>
        <v>ECPIVN 24 Index</v>
      </c>
      <c r="Z37" s="9" t="str">
        <f t="shared" ca="1" si="25"/>
        <v>ECPIVN 25 Index</v>
      </c>
      <c r="AA37" s="9" t="str">
        <f t="shared" ca="1" si="25"/>
        <v>ECPIVN 26 Index</v>
      </c>
      <c r="AB37" s="9" t="str">
        <f t="shared" ca="1" si="25"/>
        <v>ECPIVN 27 Index</v>
      </c>
      <c r="AC37" s="9" t="str">
        <f t="shared" ca="1" si="25"/>
        <v>ECUPVN 16 Index</v>
      </c>
      <c r="AD37" s="9" t="str">
        <f t="shared" ca="1" si="25"/>
        <v>ECUPVN 17 Index</v>
      </c>
      <c r="AE37" s="9" t="str">
        <f t="shared" ca="1" si="25"/>
        <v>ECUPVN 18 Index</v>
      </c>
      <c r="AF37" s="9" t="str">
        <f t="shared" ca="1" si="25"/>
        <v>ECUPVN 19 Index</v>
      </c>
      <c r="AG37" s="9" t="str">
        <f t="shared" ca="1" si="25"/>
        <v>ECUPVN 20 Index</v>
      </c>
      <c r="AH37" s="9" t="str">
        <f t="shared" ca="1" si="25"/>
        <v>ECUPVN 21 Index</v>
      </c>
      <c r="AI37" s="9" t="str">
        <f t="shared" ca="1" si="25"/>
        <v>ECUPVN 22 Index</v>
      </c>
      <c r="AJ37" s="9" t="str">
        <f t="shared" ca="1" si="25"/>
        <v>ECUPVN 23 Index</v>
      </c>
      <c r="AK37" s="9" t="str">
        <f t="shared" ca="1" si="25"/>
        <v>ECUPVN 24 Index</v>
      </c>
      <c r="AL37" s="9" t="str">
        <f t="shared" ca="1" si="25"/>
        <v>ECUPVN 25 Index</v>
      </c>
      <c r="AM37" s="9" t="str">
        <f t="shared" ca="1" si="25"/>
        <v>ECUPVN 26 Index</v>
      </c>
      <c r="AN37" s="9" t="str">
        <f t="shared" ca="1" si="25"/>
        <v>ECUPVN 27 Index</v>
      </c>
      <c r="AO37" s="9" t="str">
        <f t="shared" ca="1" si="25"/>
        <v>ECCAVN 16 Index</v>
      </c>
      <c r="AP37" s="9" t="str">
        <f t="shared" ca="1" si="25"/>
        <v>ECCAVN 17 Index</v>
      </c>
      <c r="AQ37" s="9" t="str">
        <f t="shared" ca="1" si="26"/>
        <v>ECCAVN 18 Index</v>
      </c>
      <c r="AR37" s="9" t="str">
        <f t="shared" ca="1" si="26"/>
        <v>ECCAVN 19 Index</v>
      </c>
      <c r="AS37" s="9" t="str">
        <f t="shared" ca="1" si="26"/>
        <v>ECCAVN 20 Index</v>
      </c>
      <c r="AT37" s="9" t="str">
        <f t="shared" ca="1" si="26"/>
        <v>ECCAVN 21 Index</v>
      </c>
      <c r="AU37" s="9" t="str">
        <f t="shared" ca="1" si="26"/>
        <v>ECCAVN 22 Index</v>
      </c>
      <c r="AV37" s="9" t="str">
        <f t="shared" ca="1" si="26"/>
        <v>ECCAVN 23 Index</v>
      </c>
      <c r="AW37" s="9" t="str">
        <f t="shared" ca="1" si="26"/>
        <v>ECCAVN 24 Index</v>
      </c>
      <c r="AX37" s="9" t="str">
        <f t="shared" ca="1" si="26"/>
        <v>ECCAVN 25 Index</v>
      </c>
      <c r="AY37" s="9" t="str">
        <f t="shared" ca="1" si="26"/>
        <v>ECCAVN 26 Index</v>
      </c>
      <c r="AZ37" s="9" t="str">
        <f t="shared" ca="1" si="26"/>
        <v>ECCAVN 27 Index</v>
      </c>
      <c r="BA37" s="9" t="str">
        <f t="shared" ca="1" si="26"/>
        <v>ECBBVN 16 Index</v>
      </c>
      <c r="BB37" s="9" t="str">
        <f t="shared" ca="1" si="26"/>
        <v>ECBBVN 17 Index</v>
      </c>
      <c r="BC37" s="9" t="str">
        <f t="shared" ca="1" si="26"/>
        <v>ECBBVN 18 Index</v>
      </c>
      <c r="BD37" s="9" t="str">
        <f t="shared" ca="1" si="26"/>
        <v>ECBBVN 19 Index</v>
      </c>
      <c r="BE37" s="9" t="str">
        <f t="shared" ca="1" si="26"/>
        <v>ECBBVN 20 Index</v>
      </c>
      <c r="BF37" s="9" t="str">
        <f t="shared" ca="1" si="26"/>
        <v>ECBBVN 21 Index</v>
      </c>
      <c r="BG37" s="9" t="str">
        <f t="shared" ca="1" si="26"/>
        <v>ECBBVN 22 Index</v>
      </c>
      <c r="BH37" s="9" t="str">
        <f t="shared" ca="1" si="26"/>
        <v>ECBBVN 23 Index</v>
      </c>
      <c r="BI37" s="9" t="str">
        <f t="shared" ca="1" si="18"/>
        <v>ECBBVN 24 Index</v>
      </c>
      <c r="BJ37" s="9" t="str">
        <f t="shared" ca="1" si="13"/>
        <v>ECBBVN 25 Index</v>
      </c>
      <c r="BK37" s="9" t="str">
        <f t="shared" ca="1" si="13"/>
        <v>ECBBVN 26 Index</v>
      </c>
      <c r="BL37" s="9" t="str">
        <f t="shared" ca="1" si="13"/>
        <v>ECBBVN 27 Index</v>
      </c>
    </row>
    <row r="38" spans="1:64" ht="18.75" customHeight="1">
      <c r="A38" s="1" t="s">
        <v>150</v>
      </c>
      <c r="B38" s="1" t="s">
        <v>151</v>
      </c>
      <c r="C38" s="1" t="s">
        <v>50</v>
      </c>
      <c r="D38" s="1" t="s">
        <v>159</v>
      </c>
      <c r="E38" s="9" t="str">
        <f t="shared" ca="1" si="28"/>
        <v>ECGDAR 16 Index</v>
      </c>
      <c r="F38" s="9" t="str">
        <f t="shared" ca="1" si="28"/>
        <v>ECGDAR 17 Index</v>
      </c>
      <c r="G38" s="9" t="str">
        <f t="shared" ca="1" si="28"/>
        <v>ECGDAR 18 Index</v>
      </c>
      <c r="H38" s="9" t="str">
        <f t="shared" ca="1" si="28"/>
        <v>ECGDAR 19 Index</v>
      </c>
      <c r="I38" s="9" t="str">
        <f t="shared" ca="1" si="28"/>
        <v>ECGDAR 20 Index</v>
      </c>
      <c r="J38" s="9" t="str">
        <f t="shared" ca="1" si="28"/>
        <v>ECGDAR 21 Index</v>
      </c>
      <c r="K38" s="9" t="str">
        <f t="shared" ca="1" si="28"/>
        <v>ECGDAR 22 Index</v>
      </c>
      <c r="L38" s="9" t="str">
        <f t="shared" ca="1" si="28"/>
        <v>ECGDAR 23 Index</v>
      </c>
      <c r="M38" s="9" t="str">
        <f t="shared" ca="1" si="28"/>
        <v>ECGDAR 24 Index</v>
      </c>
      <c r="N38" s="9" t="str">
        <f t="shared" ca="1" si="28"/>
        <v>ECGDAR 25 Index</v>
      </c>
      <c r="O38" s="9" t="str">
        <f t="shared" ca="1" si="28"/>
        <v>ECGDAR 26 Index</v>
      </c>
      <c r="P38" s="9" t="str">
        <f t="shared" ca="1" si="28"/>
        <v>ECGDAR 27 Index</v>
      </c>
      <c r="Q38" s="9" t="str">
        <f t="shared" ca="1" si="28"/>
        <v>ECPIAR 16 Index</v>
      </c>
      <c r="R38" s="9" t="str">
        <f t="shared" ca="1" si="28"/>
        <v>ECPIAR 17 Index</v>
      </c>
      <c r="S38" s="9" t="str">
        <f t="shared" ca="1" si="28"/>
        <v>ECPIAR 18 Index</v>
      </c>
      <c r="T38" s="9" t="str">
        <f t="shared" ca="1" si="28"/>
        <v>ECPIAR 19 Index</v>
      </c>
      <c r="U38" s="9" t="str">
        <f t="shared" ca="1" si="28"/>
        <v>ECPIAR 20 Index</v>
      </c>
      <c r="V38" s="9" t="str">
        <f t="shared" ca="1" si="27"/>
        <v>ECPIAR 21 Index</v>
      </c>
      <c r="W38" s="9" t="str">
        <f t="shared" ca="1" si="25"/>
        <v>ECPIAR 22 Index</v>
      </c>
      <c r="X38" s="9" t="str">
        <f t="shared" ca="1" si="25"/>
        <v>ECPIAR 23 Index</v>
      </c>
      <c r="Y38" s="9" t="str">
        <f t="shared" ca="1" si="25"/>
        <v>ECPIAR 24 Index</v>
      </c>
      <c r="Z38" s="9" t="str">
        <f t="shared" ca="1" si="25"/>
        <v>ECPIAR 25 Index</v>
      </c>
      <c r="AA38" s="9" t="str">
        <f t="shared" ca="1" si="25"/>
        <v>ECPIAR 26 Index</v>
      </c>
      <c r="AB38" s="9" t="str">
        <f t="shared" ca="1" si="25"/>
        <v>ECPIAR 27 Index</v>
      </c>
      <c r="AC38" s="9" t="str">
        <f t="shared" ca="1" si="25"/>
        <v>ECUPAR 16 Index</v>
      </c>
      <c r="AD38" s="9" t="str">
        <f t="shared" ca="1" si="25"/>
        <v>ECUPAR 17 Index</v>
      </c>
      <c r="AE38" s="9" t="str">
        <f t="shared" ca="1" si="25"/>
        <v>ECUPAR 18 Index</v>
      </c>
      <c r="AF38" s="9" t="str">
        <f t="shared" ca="1" si="25"/>
        <v>ECUPAR 19 Index</v>
      </c>
      <c r="AG38" s="9" t="str">
        <f t="shared" ca="1" si="25"/>
        <v>ECUPAR 20 Index</v>
      </c>
      <c r="AH38" s="9" t="str">
        <f t="shared" ca="1" si="25"/>
        <v>ECUPAR 21 Index</v>
      </c>
      <c r="AI38" s="9" t="str">
        <f t="shared" ca="1" si="25"/>
        <v>ECUPAR 22 Index</v>
      </c>
      <c r="AJ38" s="9" t="str">
        <f t="shared" ca="1" si="25"/>
        <v>ECUPAR 23 Index</v>
      </c>
      <c r="AK38" s="9" t="str">
        <f t="shared" ca="1" si="25"/>
        <v>ECUPAR 24 Index</v>
      </c>
      <c r="AL38" s="9" t="str">
        <f t="shared" ca="1" si="25"/>
        <v>ECUPAR 25 Index</v>
      </c>
      <c r="AM38" s="9" t="str">
        <f t="shared" ca="1" si="25"/>
        <v>ECUPAR 26 Index</v>
      </c>
      <c r="AN38" s="9" t="str">
        <f t="shared" ca="1" si="25"/>
        <v>ECUPAR 27 Index</v>
      </c>
      <c r="AO38" s="9" t="str">
        <f t="shared" ca="1" si="25"/>
        <v>ECCAAR 16 Index</v>
      </c>
      <c r="AP38" s="9" t="str">
        <f t="shared" ca="1" si="25"/>
        <v>ECCAAR 17 Index</v>
      </c>
      <c r="AQ38" s="9" t="str">
        <f t="shared" ca="1" si="26"/>
        <v>ECCAAR 18 Index</v>
      </c>
      <c r="AR38" s="9" t="str">
        <f t="shared" ca="1" si="26"/>
        <v>ECCAAR 19 Index</v>
      </c>
      <c r="AS38" s="9" t="str">
        <f t="shared" ca="1" si="26"/>
        <v>ECCAAR 20 Index</v>
      </c>
      <c r="AT38" s="9" t="str">
        <f t="shared" ca="1" si="26"/>
        <v>ECCAAR 21 Index</v>
      </c>
      <c r="AU38" s="9" t="str">
        <f t="shared" ca="1" si="26"/>
        <v>ECCAAR 22 Index</v>
      </c>
      <c r="AV38" s="9" t="str">
        <f t="shared" ca="1" si="26"/>
        <v>ECCAAR 23 Index</v>
      </c>
      <c r="AW38" s="9" t="str">
        <f t="shared" ca="1" si="26"/>
        <v>ECCAAR 24 Index</v>
      </c>
      <c r="AX38" s="9" t="str">
        <f t="shared" ca="1" si="26"/>
        <v>ECCAAR 25 Index</v>
      </c>
      <c r="AY38" s="9" t="str">
        <f t="shared" ca="1" si="26"/>
        <v>ECCAAR 26 Index</v>
      </c>
      <c r="AZ38" s="9" t="str">
        <f t="shared" ca="1" si="26"/>
        <v>ECCAAR 27 Index</v>
      </c>
      <c r="BA38" s="9" t="str">
        <f t="shared" ca="1" si="26"/>
        <v>ECBBAR 16 Index</v>
      </c>
      <c r="BB38" s="9" t="str">
        <f t="shared" ca="1" si="26"/>
        <v>ECBBAR 17 Index</v>
      </c>
      <c r="BC38" s="9" t="str">
        <f t="shared" ca="1" si="26"/>
        <v>ECBBAR 18 Index</v>
      </c>
      <c r="BD38" s="9" t="str">
        <f t="shared" ca="1" si="26"/>
        <v>ECBBAR 19 Index</v>
      </c>
      <c r="BE38" s="9" t="str">
        <f t="shared" ca="1" si="26"/>
        <v>ECBBAR 20 Index</v>
      </c>
      <c r="BF38" s="9" t="str">
        <f t="shared" ca="1" si="26"/>
        <v>ECBBAR 21 Index</v>
      </c>
      <c r="BG38" s="9" t="str">
        <f t="shared" ca="1" si="26"/>
        <v>ECBBAR 22 Index</v>
      </c>
      <c r="BH38" s="9" t="str">
        <f t="shared" ca="1" si="26"/>
        <v>ECBBAR 23 Index</v>
      </c>
      <c r="BI38" s="9" t="str">
        <f t="shared" ca="1" si="18"/>
        <v>ECBBAR 24 Index</v>
      </c>
      <c r="BJ38" s="9" t="str">
        <f t="shared" ca="1" si="13"/>
        <v>ECBBAR 25 Index</v>
      </c>
      <c r="BK38" s="9" t="str">
        <f t="shared" ca="1" si="13"/>
        <v>ECBBAR 26 Index</v>
      </c>
      <c r="BL38" s="9" t="str">
        <f t="shared" ca="1" si="13"/>
        <v>ECBBAR 27 Index</v>
      </c>
    </row>
    <row r="39" spans="1:64" ht="18.75" customHeight="1">
      <c r="A39" s="1" t="s">
        <v>153</v>
      </c>
      <c r="B39" s="1" t="s">
        <v>154</v>
      </c>
      <c r="C39" s="1" t="s">
        <v>50</v>
      </c>
      <c r="D39" s="1" t="s">
        <v>160</v>
      </c>
      <c r="E39" s="9" t="str">
        <f t="shared" ca="1" si="28"/>
        <v>ECGDSG 16 Index</v>
      </c>
      <c r="F39" s="9" t="str">
        <f t="shared" ca="1" si="28"/>
        <v>ECGDSG 17 Index</v>
      </c>
      <c r="G39" s="9" t="str">
        <f t="shared" ca="1" si="28"/>
        <v>ECGDSG 18 Index</v>
      </c>
      <c r="H39" s="9" t="str">
        <f t="shared" ca="1" si="28"/>
        <v>ECGDSG 19 Index</v>
      </c>
      <c r="I39" s="9" t="str">
        <f t="shared" ca="1" si="28"/>
        <v>ECGDSG 20 Index</v>
      </c>
      <c r="J39" s="9" t="str">
        <f t="shared" ca="1" si="28"/>
        <v>ECGDSG 21 Index</v>
      </c>
      <c r="K39" s="9" t="str">
        <f t="shared" ca="1" si="28"/>
        <v>ECGDSG 22 Index</v>
      </c>
      <c r="L39" s="9" t="str">
        <f t="shared" ca="1" si="28"/>
        <v>ECGDSG 23 Index</v>
      </c>
      <c r="M39" s="9" t="str">
        <f t="shared" ca="1" si="28"/>
        <v>ECGDSG 24 Index</v>
      </c>
      <c r="N39" s="9" t="str">
        <f t="shared" ca="1" si="28"/>
        <v>ECGDSG 25 Index</v>
      </c>
      <c r="O39" s="9" t="str">
        <f t="shared" ca="1" si="28"/>
        <v>ECGDSG 26 Index</v>
      </c>
      <c r="P39" s="9" t="str">
        <f t="shared" ca="1" si="28"/>
        <v>ECGDSG 27 Index</v>
      </c>
      <c r="Q39" s="9" t="str">
        <f t="shared" ca="1" si="28"/>
        <v>ECPISG 16 Index</v>
      </c>
      <c r="R39" s="9" t="str">
        <f t="shared" ca="1" si="28"/>
        <v>ECPISG 17 Index</v>
      </c>
      <c r="S39" s="9" t="str">
        <f t="shared" ca="1" si="28"/>
        <v>ECPISG 18 Index</v>
      </c>
      <c r="T39" s="9" t="str">
        <f t="shared" ca="1" si="28"/>
        <v>ECPISG 19 Index</v>
      </c>
      <c r="U39" s="9" t="str">
        <f t="shared" ca="1" si="28"/>
        <v>ECPISG 20 Index</v>
      </c>
      <c r="V39" s="9" t="str">
        <f t="shared" ca="1" si="27"/>
        <v>ECPISG 21 Index</v>
      </c>
      <c r="W39" s="9" t="str">
        <f t="shared" ca="1" si="25"/>
        <v>ECPISG 22 Index</v>
      </c>
      <c r="X39" s="9" t="str">
        <f t="shared" ca="1" si="25"/>
        <v>ECPISG 23 Index</v>
      </c>
      <c r="Y39" s="9" t="str">
        <f t="shared" ca="1" si="25"/>
        <v>ECPISG 24 Index</v>
      </c>
      <c r="Z39" s="9" t="str">
        <f t="shared" ca="1" si="25"/>
        <v>ECPISG 25 Index</v>
      </c>
      <c r="AA39" s="9" t="str">
        <f t="shared" ca="1" si="25"/>
        <v>ECPISG 26 Index</v>
      </c>
      <c r="AB39" s="9" t="str">
        <f t="shared" ca="1" si="25"/>
        <v>ECPISG 27 Index</v>
      </c>
      <c r="AC39" s="9" t="str">
        <f t="shared" ca="1" si="25"/>
        <v>ECUPSG 16 Index</v>
      </c>
      <c r="AD39" s="9" t="str">
        <f t="shared" ca="1" si="25"/>
        <v>ECUPSG 17 Index</v>
      </c>
      <c r="AE39" s="9" t="str">
        <f t="shared" ca="1" si="25"/>
        <v>ECUPSG 18 Index</v>
      </c>
      <c r="AF39" s="9" t="str">
        <f t="shared" ca="1" si="25"/>
        <v>ECUPSG 19 Index</v>
      </c>
      <c r="AG39" s="9" t="str">
        <f t="shared" ca="1" si="25"/>
        <v>ECUPSG 20 Index</v>
      </c>
      <c r="AH39" s="9" t="str">
        <f t="shared" ca="1" si="25"/>
        <v>ECUPSG 21 Index</v>
      </c>
      <c r="AI39" s="9" t="str">
        <f t="shared" ca="1" si="25"/>
        <v>ECUPSG 22 Index</v>
      </c>
      <c r="AJ39" s="9" t="str">
        <f t="shared" ca="1" si="25"/>
        <v>ECUPSG 23 Index</v>
      </c>
      <c r="AK39" s="9" t="str">
        <f t="shared" ca="1" si="25"/>
        <v>ECUPSG 24 Index</v>
      </c>
      <c r="AL39" s="9" t="str">
        <f t="shared" ca="1" si="25"/>
        <v>ECUPSG 25 Index</v>
      </c>
      <c r="AM39" s="9" t="str">
        <f t="shared" ca="1" si="25"/>
        <v>ECUPSG 26 Index</v>
      </c>
      <c r="AN39" s="9" t="str">
        <f t="shared" ca="1" si="25"/>
        <v>ECUPSG 27 Index</v>
      </c>
      <c r="AO39" s="9" t="str">
        <f t="shared" ca="1" si="25"/>
        <v>ECCASG 16 Index</v>
      </c>
      <c r="AP39" s="9" t="str">
        <f t="shared" ca="1" si="25"/>
        <v>ECCASG 17 Index</v>
      </c>
      <c r="AQ39" s="9" t="str">
        <f t="shared" ca="1" si="26"/>
        <v>ECCASG 18 Index</v>
      </c>
      <c r="AR39" s="9" t="str">
        <f t="shared" ca="1" si="26"/>
        <v>ECCASG 19 Index</v>
      </c>
      <c r="AS39" s="9" t="str">
        <f t="shared" ca="1" si="26"/>
        <v>ECCASG 20 Index</v>
      </c>
      <c r="AT39" s="9" t="str">
        <f t="shared" ca="1" si="26"/>
        <v>ECCASG 21 Index</v>
      </c>
      <c r="AU39" s="9" t="str">
        <f t="shared" ca="1" si="26"/>
        <v>ECCASG 22 Index</v>
      </c>
      <c r="AV39" s="9" t="str">
        <f t="shared" ca="1" si="26"/>
        <v>ECCASG 23 Index</v>
      </c>
      <c r="AW39" s="9" t="str">
        <f t="shared" ca="1" si="26"/>
        <v>ECCASG 24 Index</v>
      </c>
      <c r="AX39" s="9" t="str">
        <f t="shared" ca="1" si="26"/>
        <v>ECCASG 25 Index</v>
      </c>
      <c r="AY39" s="9" t="str">
        <f t="shared" ca="1" si="26"/>
        <v>ECCASG 26 Index</v>
      </c>
      <c r="AZ39" s="9" t="str">
        <f t="shared" ca="1" si="26"/>
        <v>ECCASG 27 Index</v>
      </c>
      <c r="BA39" s="9" t="str">
        <f t="shared" ca="1" si="26"/>
        <v>ECBBSG 16 Index</v>
      </c>
      <c r="BB39" s="9" t="str">
        <f t="shared" ca="1" si="26"/>
        <v>ECBBSG 17 Index</v>
      </c>
      <c r="BC39" s="9" t="str">
        <f t="shared" ca="1" si="26"/>
        <v>ECBBSG 18 Index</v>
      </c>
      <c r="BD39" s="9" t="str">
        <f t="shared" ca="1" si="26"/>
        <v>ECBBSG 19 Index</v>
      </c>
      <c r="BE39" s="9" t="str">
        <f t="shared" ca="1" si="26"/>
        <v>ECBBSG 20 Index</v>
      </c>
      <c r="BF39" s="9" t="str">
        <f t="shared" ca="1" si="26"/>
        <v>ECBBSG 21 Index</v>
      </c>
      <c r="BG39" s="9" t="str">
        <f t="shared" ca="1" si="26"/>
        <v>ECBBSG 22 Index</v>
      </c>
      <c r="BH39" s="9" t="str">
        <f t="shared" ca="1" si="26"/>
        <v>ECBBSG 23 Index</v>
      </c>
      <c r="BI39" s="9" t="str">
        <f t="shared" ca="1" si="18"/>
        <v>ECBBSG 24 Index</v>
      </c>
      <c r="BJ39" s="9" t="str">
        <f t="shared" ca="1" si="13"/>
        <v>ECBBSG 25 Index</v>
      </c>
      <c r="BK39" s="9" t="str">
        <f t="shared" ca="1" si="13"/>
        <v>ECBBSG 26 Index</v>
      </c>
      <c r="BL39" s="9" t="str">
        <f t="shared" ca="1" si="13"/>
        <v>ECBBSG 27 Index</v>
      </c>
    </row>
    <row r="40" spans="1:64">
      <c r="BL4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/>
  </sheetPr>
  <dimension ref="A1:G39"/>
  <sheetViews>
    <sheetView workbookViewId="0">
      <selection activeCell="D18" sqref="D18"/>
    </sheetView>
  </sheetViews>
  <sheetFormatPr defaultRowHeight="14.4"/>
  <cols>
    <col min="1" max="3" width="13.5546875" style="10" bestFit="1" customWidth="1"/>
    <col min="4" max="7" width="27.6640625" style="10" bestFit="1" customWidth="1"/>
  </cols>
  <sheetData>
    <row r="1" spans="1:7" ht="18.75" customHeight="1">
      <c r="A1" s="1"/>
      <c r="B1" s="1"/>
      <c r="C1" s="1"/>
      <c r="D1" s="1"/>
      <c r="E1" s="1"/>
      <c r="F1" s="1"/>
      <c r="G1" s="1"/>
    </row>
    <row r="2" spans="1:7" ht="18.75" customHeight="1">
      <c r="A2" s="1"/>
      <c r="B2" s="1"/>
      <c r="C2" s="1"/>
      <c r="D2" s="1"/>
      <c r="E2" s="1"/>
      <c r="F2" s="1"/>
      <c r="G2" s="1"/>
    </row>
    <row r="3" spans="1:7" ht="18.75" customHeight="1">
      <c r="A3" s="1" t="s">
        <v>5</v>
      </c>
      <c r="B3" s="1" t="s">
        <v>6</v>
      </c>
      <c r="C3" s="1" t="s">
        <v>7</v>
      </c>
      <c r="D3" s="1" t="s">
        <v>105</v>
      </c>
      <c r="E3" s="1" t="s">
        <v>106</v>
      </c>
      <c r="F3" s="1" t="s">
        <v>107</v>
      </c>
      <c r="G3" s="1" t="s">
        <v>108</v>
      </c>
    </row>
    <row r="4" spans="1:7" ht="18.75" customHeight="1">
      <c r="A4" s="3" t="s">
        <v>9</v>
      </c>
      <c r="B4" s="3" t="s">
        <v>10</v>
      </c>
      <c r="C4" s="3" t="s">
        <v>11</v>
      </c>
      <c r="D4" s="3" t="s">
        <v>109</v>
      </c>
      <c r="E4" s="3" t="s">
        <v>110</v>
      </c>
      <c r="F4" s="3" t="s">
        <v>111</v>
      </c>
      <c r="G4" s="1"/>
    </row>
    <row r="5" spans="1:7" ht="18.75" customHeight="1">
      <c r="A5" s="1" t="s">
        <v>13</v>
      </c>
      <c r="B5" s="1" t="s">
        <v>14</v>
      </c>
      <c r="C5" s="1" t="s">
        <v>11</v>
      </c>
      <c r="D5" s="5" t="s">
        <v>112</v>
      </c>
      <c r="E5" s="5" t="s">
        <v>113</v>
      </c>
      <c r="F5" s="1" t="s">
        <v>111</v>
      </c>
      <c r="G5" s="1" t="s">
        <v>114</v>
      </c>
    </row>
    <row r="6" spans="1:7" ht="18.75" customHeight="1">
      <c r="A6" s="1" t="s">
        <v>16</v>
      </c>
      <c r="B6" s="1" t="s">
        <v>17</v>
      </c>
      <c r="C6" s="1" t="s">
        <v>11</v>
      </c>
      <c r="D6" s="1" t="s">
        <v>115</v>
      </c>
      <c r="E6" s="1" t="s">
        <v>113</v>
      </c>
      <c r="F6" s="5" t="s">
        <v>116</v>
      </c>
      <c r="G6" s="5"/>
    </row>
    <row r="7" spans="1:7" ht="18.75" customHeight="1">
      <c r="A7" s="1" t="s">
        <v>19</v>
      </c>
      <c r="B7" s="1" t="s">
        <v>20</v>
      </c>
      <c r="C7" s="1" t="s">
        <v>11</v>
      </c>
      <c r="D7" s="1" t="s">
        <v>117</v>
      </c>
      <c r="E7" s="1" t="s">
        <v>113</v>
      </c>
      <c r="F7" s="1" t="s">
        <v>111</v>
      </c>
      <c r="G7" s="1" t="s">
        <v>114</v>
      </c>
    </row>
    <row r="8" spans="1:7" ht="18.75" customHeight="1">
      <c r="A8" s="1" t="s">
        <v>22</v>
      </c>
      <c r="B8" s="1" t="s">
        <v>23</v>
      </c>
      <c r="C8" s="1" t="s">
        <v>11</v>
      </c>
      <c r="D8" s="1" t="s">
        <v>118</v>
      </c>
      <c r="E8" s="1" t="s">
        <v>113</v>
      </c>
      <c r="F8" s="1" t="s">
        <v>116</v>
      </c>
      <c r="G8" s="1" t="s">
        <v>114</v>
      </c>
    </row>
    <row r="9" spans="1:7" ht="18.75" customHeight="1">
      <c r="A9" s="1" t="s">
        <v>25</v>
      </c>
      <c r="B9" s="1" t="s">
        <v>26</v>
      </c>
      <c r="C9" s="1" t="s">
        <v>11</v>
      </c>
      <c r="D9" s="1" t="s">
        <v>119</v>
      </c>
      <c r="E9" s="1" t="s">
        <v>113</v>
      </c>
      <c r="F9" s="1" t="s">
        <v>116</v>
      </c>
      <c r="G9" s="1" t="s">
        <v>114</v>
      </c>
    </row>
    <row r="10" spans="1:7" ht="18.75" customHeight="1">
      <c r="A10" s="1" t="s">
        <v>28</v>
      </c>
      <c r="B10" s="1" t="s">
        <v>29</v>
      </c>
      <c r="C10" s="1" t="s">
        <v>11</v>
      </c>
      <c r="D10" s="1" t="s">
        <v>120</v>
      </c>
      <c r="E10" s="1" t="s">
        <v>110</v>
      </c>
      <c r="F10" s="1" t="s">
        <v>111</v>
      </c>
      <c r="G10" s="1" t="s">
        <v>121</v>
      </c>
    </row>
    <row r="11" spans="1:7" ht="18.75" customHeight="1">
      <c r="A11" s="1" t="s">
        <v>31</v>
      </c>
      <c r="B11" s="1" t="s">
        <v>32</v>
      </c>
      <c r="C11" s="1" t="s">
        <v>11</v>
      </c>
      <c r="D11" s="1" t="s">
        <v>122</v>
      </c>
      <c r="E11" s="1" t="s">
        <v>110</v>
      </c>
      <c r="F11" s="1" t="s">
        <v>111</v>
      </c>
      <c r="G11" s="1" t="s">
        <v>121</v>
      </c>
    </row>
    <row r="12" spans="1:7" ht="18.75" customHeight="1">
      <c r="A12" s="1" t="s">
        <v>34</v>
      </c>
      <c r="B12" s="1" t="s">
        <v>35</v>
      </c>
      <c r="C12" s="1" t="s">
        <v>11</v>
      </c>
      <c r="D12" s="1" t="s">
        <v>123</v>
      </c>
      <c r="E12" s="1" t="s">
        <v>113</v>
      </c>
      <c r="F12" s="1" t="s">
        <v>116</v>
      </c>
      <c r="G12" s="1" t="s">
        <v>114</v>
      </c>
    </row>
    <row r="13" spans="1:7" ht="18.75" customHeight="1">
      <c r="A13" s="1" t="s">
        <v>37</v>
      </c>
      <c r="B13" s="1" t="s">
        <v>37</v>
      </c>
      <c r="C13" s="1" t="s">
        <v>11</v>
      </c>
      <c r="D13" s="1" t="s">
        <v>124</v>
      </c>
      <c r="E13" s="1" t="s">
        <v>110</v>
      </c>
      <c r="F13" s="1" t="s">
        <v>111</v>
      </c>
      <c r="G13" s="1" t="s">
        <v>121</v>
      </c>
    </row>
    <row r="14" spans="1:7" ht="18.75" customHeight="1">
      <c r="A14" s="1" t="s">
        <v>3</v>
      </c>
      <c r="B14" s="1" t="s">
        <v>38</v>
      </c>
      <c r="C14" s="1" t="s">
        <v>11</v>
      </c>
      <c r="D14" s="1" t="s">
        <v>125</v>
      </c>
      <c r="E14" s="1" t="s">
        <v>113</v>
      </c>
      <c r="F14" s="1" t="s">
        <v>111</v>
      </c>
      <c r="G14" s="1" t="s">
        <v>121</v>
      </c>
    </row>
    <row r="15" spans="1:7" ht="18.75" customHeight="1">
      <c r="A15" s="1" t="s">
        <v>40</v>
      </c>
      <c r="B15" s="1" t="s">
        <v>41</v>
      </c>
      <c r="C15" s="1" t="s">
        <v>11</v>
      </c>
      <c r="D15" s="1" t="s">
        <v>126</v>
      </c>
      <c r="E15" s="1" t="s">
        <v>113</v>
      </c>
      <c r="F15" s="1" t="s">
        <v>116</v>
      </c>
      <c r="G15" s="1" t="s">
        <v>114</v>
      </c>
    </row>
    <row r="16" spans="1:7" ht="18.75" customHeight="1">
      <c r="A16" s="1" t="s">
        <v>43</v>
      </c>
      <c r="B16" s="1" t="s">
        <v>44</v>
      </c>
      <c r="C16" s="1" t="s">
        <v>11</v>
      </c>
      <c r="D16" s="1" t="s">
        <v>127</v>
      </c>
      <c r="E16" s="1" t="s">
        <v>113</v>
      </c>
      <c r="F16" s="1" t="s">
        <v>111</v>
      </c>
      <c r="G16" s="1" t="s">
        <v>114</v>
      </c>
    </row>
    <row r="17" spans="1:7" ht="18.75" customHeight="1">
      <c r="A17" s="7" t="s">
        <v>45</v>
      </c>
      <c r="B17" s="7" t="s">
        <v>46</v>
      </c>
      <c r="C17" s="7" t="s">
        <v>11</v>
      </c>
      <c r="D17" s="7" t="s">
        <v>128</v>
      </c>
      <c r="E17" s="7" t="s">
        <v>113</v>
      </c>
      <c r="F17" s="7" t="s">
        <v>116</v>
      </c>
      <c r="G17" s="7" t="s">
        <v>121</v>
      </c>
    </row>
    <row r="18" spans="1:7" ht="18.75" customHeight="1">
      <c r="A18" s="1" t="s">
        <v>48</v>
      </c>
      <c r="B18" s="1" t="s">
        <v>49</v>
      </c>
      <c r="C18" s="1" t="s">
        <v>50</v>
      </c>
      <c r="D18" s="1" t="s">
        <v>129</v>
      </c>
      <c r="E18" s="1" t="s">
        <v>113</v>
      </c>
      <c r="F18" s="1" t="s">
        <v>116</v>
      </c>
      <c r="G18" s="1" t="s">
        <v>114</v>
      </c>
    </row>
    <row r="19" spans="1:7" ht="18.75" customHeight="1">
      <c r="A19" s="1" t="s">
        <v>52</v>
      </c>
      <c r="B19" s="1" t="s">
        <v>53</v>
      </c>
      <c r="C19" s="1" t="s">
        <v>50</v>
      </c>
      <c r="D19" s="1" t="s">
        <v>130</v>
      </c>
      <c r="E19" s="1" t="s">
        <v>113</v>
      </c>
      <c r="F19" s="1" t="s">
        <v>111</v>
      </c>
      <c r="G19" s="1" t="s">
        <v>114</v>
      </c>
    </row>
    <row r="20" spans="1:7" ht="18.75" customHeight="1">
      <c r="A20" s="1" t="s">
        <v>55</v>
      </c>
      <c r="B20" s="1" t="s">
        <v>56</v>
      </c>
      <c r="C20" s="1" t="s">
        <v>50</v>
      </c>
      <c r="D20" s="1" t="s">
        <v>131</v>
      </c>
      <c r="E20" s="1" t="s">
        <v>113</v>
      </c>
      <c r="F20" s="1" t="s">
        <v>116</v>
      </c>
      <c r="G20" s="1" t="s">
        <v>114</v>
      </c>
    </row>
    <row r="21" spans="1:7" ht="18.75" customHeight="1">
      <c r="A21" s="1" t="s">
        <v>58</v>
      </c>
      <c r="B21" s="1" t="s">
        <v>59</v>
      </c>
      <c r="C21" s="1" t="s">
        <v>50</v>
      </c>
      <c r="D21" s="1" t="s">
        <v>132</v>
      </c>
      <c r="E21" s="1" t="s">
        <v>113</v>
      </c>
      <c r="F21" s="1" t="s">
        <v>111</v>
      </c>
      <c r="G21" s="1" t="s">
        <v>114</v>
      </c>
    </row>
    <row r="22" spans="1:7" ht="18.75" customHeight="1">
      <c r="A22" s="1" t="s">
        <v>61</v>
      </c>
      <c r="B22" s="1" t="s">
        <v>62</v>
      </c>
      <c r="C22" s="1" t="s">
        <v>50</v>
      </c>
      <c r="D22" s="5" t="s">
        <v>133</v>
      </c>
      <c r="E22" s="5" t="s">
        <v>113</v>
      </c>
      <c r="F22" s="5" t="s">
        <v>116</v>
      </c>
      <c r="G22" s="5" t="s">
        <v>121</v>
      </c>
    </row>
    <row r="23" spans="1:7" ht="18.75" customHeight="1">
      <c r="A23" s="1" t="s">
        <v>64</v>
      </c>
      <c r="B23" s="1" t="s">
        <v>65</v>
      </c>
      <c r="C23" s="1" t="s">
        <v>50</v>
      </c>
      <c r="D23" s="1" t="s">
        <v>134</v>
      </c>
      <c r="E23" s="1" t="s">
        <v>110</v>
      </c>
      <c r="F23" s="1" t="s">
        <v>111</v>
      </c>
      <c r="G23" s="1" t="s">
        <v>114</v>
      </c>
    </row>
    <row r="24" spans="1:7" ht="18.75" customHeight="1">
      <c r="A24" s="1" t="s">
        <v>67</v>
      </c>
      <c r="B24" s="1" t="s">
        <v>68</v>
      </c>
      <c r="C24" s="1" t="s">
        <v>50</v>
      </c>
      <c r="D24" s="1" t="s">
        <v>135</v>
      </c>
      <c r="E24" s="1" t="s">
        <v>113</v>
      </c>
      <c r="F24" s="1" t="s">
        <v>111</v>
      </c>
      <c r="G24" s="1" t="s">
        <v>121</v>
      </c>
    </row>
    <row r="25" spans="1:7" ht="18.75" customHeight="1">
      <c r="A25" s="1" t="s">
        <v>70</v>
      </c>
      <c r="B25" s="1" t="s">
        <v>71</v>
      </c>
      <c r="C25" s="1" t="s">
        <v>50</v>
      </c>
      <c r="D25" s="1" t="s">
        <v>136</v>
      </c>
      <c r="E25" s="1" t="s">
        <v>113</v>
      </c>
      <c r="F25" s="1" t="s">
        <v>111</v>
      </c>
      <c r="G25" s="1" t="s">
        <v>121</v>
      </c>
    </row>
    <row r="26" spans="1:7" ht="18.75" customHeight="1">
      <c r="A26" s="1" t="s">
        <v>73</v>
      </c>
      <c r="B26" s="1" t="s">
        <v>74</v>
      </c>
      <c r="C26" s="1" t="s">
        <v>50</v>
      </c>
      <c r="D26" s="1" t="s">
        <v>156</v>
      </c>
      <c r="E26" s="1" t="s">
        <v>110</v>
      </c>
      <c r="F26" s="1" t="s">
        <v>116</v>
      </c>
      <c r="G26" s="1" t="s">
        <v>114</v>
      </c>
    </row>
    <row r="27" spans="1:7" ht="18.75" customHeight="1">
      <c r="A27" s="1" t="s">
        <v>76</v>
      </c>
      <c r="B27" s="1" t="s">
        <v>77</v>
      </c>
      <c r="C27" s="1" t="s">
        <v>50</v>
      </c>
      <c r="D27" s="5" t="s">
        <v>138</v>
      </c>
      <c r="E27" s="5" t="s">
        <v>110</v>
      </c>
      <c r="F27" s="5" t="s">
        <v>111</v>
      </c>
      <c r="G27" s="5" t="s">
        <v>114</v>
      </c>
    </row>
    <row r="28" spans="1:7" ht="18.75" customHeight="1">
      <c r="A28" s="1" t="s">
        <v>79</v>
      </c>
      <c r="B28" s="1" t="s">
        <v>80</v>
      </c>
      <c r="C28" s="1" t="s">
        <v>50</v>
      </c>
      <c r="D28" s="1" t="s">
        <v>139</v>
      </c>
      <c r="E28" s="1" t="s">
        <v>113</v>
      </c>
      <c r="F28" s="1" t="s">
        <v>111</v>
      </c>
      <c r="G28" s="1" t="s">
        <v>114</v>
      </c>
    </row>
    <row r="29" spans="1:7" ht="18.75" customHeight="1">
      <c r="A29" s="1" t="s">
        <v>82</v>
      </c>
      <c r="B29" s="1" t="s">
        <v>83</v>
      </c>
      <c r="C29" s="1" t="s">
        <v>50</v>
      </c>
      <c r="D29" s="5" t="s">
        <v>140</v>
      </c>
      <c r="E29" s="5" t="s">
        <v>113</v>
      </c>
      <c r="F29" s="5" t="s">
        <v>116</v>
      </c>
      <c r="G29" s="5" t="s">
        <v>114</v>
      </c>
    </row>
    <row r="30" spans="1:7" ht="18.75" customHeight="1">
      <c r="A30" s="1" t="s">
        <v>85</v>
      </c>
      <c r="B30" s="1" t="s">
        <v>86</v>
      </c>
      <c r="C30" s="1" t="s">
        <v>50</v>
      </c>
      <c r="D30" s="1" t="s">
        <v>141</v>
      </c>
      <c r="E30" s="1" t="s">
        <v>113</v>
      </c>
      <c r="F30" s="1" t="s">
        <v>116</v>
      </c>
      <c r="G30" s="1" t="s">
        <v>121</v>
      </c>
    </row>
    <row r="31" spans="1:7" ht="18.75" customHeight="1">
      <c r="A31" s="1" t="s">
        <v>88</v>
      </c>
      <c r="B31" s="1" t="s">
        <v>89</v>
      </c>
      <c r="C31" s="1" t="s">
        <v>50</v>
      </c>
      <c r="D31" s="5" t="s">
        <v>142</v>
      </c>
      <c r="E31" s="5" t="s">
        <v>113</v>
      </c>
      <c r="F31" s="5" t="s">
        <v>111</v>
      </c>
      <c r="G31" s="5" t="s">
        <v>114</v>
      </c>
    </row>
    <row r="32" spans="1:7" ht="18.75" customHeight="1">
      <c r="A32" s="1" t="s">
        <v>90</v>
      </c>
      <c r="B32" s="1" t="s">
        <v>91</v>
      </c>
      <c r="C32" s="1" t="s">
        <v>50</v>
      </c>
      <c r="D32" s="5" t="s">
        <v>143</v>
      </c>
      <c r="E32" s="5" t="s">
        <v>113</v>
      </c>
      <c r="F32" s="5" t="s">
        <v>116</v>
      </c>
      <c r="G32" s="5" t="s">
        <v>114</v>
      </c>
    </row>
    <row r="33" spans="1:7" ht="18.75" customHeight="1">
      <c r="A33" s="1" t="s">
        <v>93</v>
      </c>
      <c r="B33" s="1" t="s">
        <v>94</v>
      </c>
      <c r="C33" s="1" t="s">
        <v>50</v>
      </c>
      <c r="D33" s="1" t="s">
        <v>144</v>
      </c>
      <c r="E33" s="5" t="s">
        <v>113</v>
      </c>
      <c r="F33" s="5" t="s">
        <v>116</v>
      </c>
      <c r="G33" s="5" t="s">
        <v>114</v>
      </c>
    </row>
    <row r="34" spans="1:7" ht="18.75" customHeight="1">
      <c r="A34" s="1" t="s">
        <v>96</v>
      </c>
      <c r="B34" s="1" t="s">
        <v>97</v>
      </c>
      <c r="C34" s="1" t="s">
        <v>50</v>
      </c>
      <c r="D34" s="1" t="s">
        <v>145</v>
      </c>
      <c r="E34" s="5" t="s">
        <v>113</v>
      </c>
      <c r="F34" s="5" t="s">
        <v>111</v>
      </c>
      <c r="G34" s="5" t="s">
        <v>114</v>
      </c>
    </row>
    <row r="35" spans="1:7" ht="18.75" customHeight="1">
      <c r="A35" s="1" t="s">
        <v>99</v>
      </c>
      <c r="B35" s="1" t="s">
        <v>100</v>
      </c>
      <c r="C35" s="1" t="s">
        <v>50</v>
      </c>
      <c r="D35" s="1" t="s">
        <v>146</v>
      </c>
      <c r="E35" s="5" t="s">
        <v>113</v>
      </c>
      <c r="F35" s="5" t="s">
        <v>116</v>
      </c>
      <c r="G35" s="5" t="s">
        <v>114</v>
      </c>
    </row>
    <row r="36" spans="1:7" ht="18.75" customHeight="1">
      <c r="A36" s="1" t="s">
        <v>147</v>
      </c>
      <c r="B36" s="1" t="s">
        <v>104</v>
      </c>
      <c r="C36" s="1" t="s">
        <v>50</v>
      </c>
      <c r="D36" s="1" t="s">
        <v>148</v>
      </c>
      <c r="E36" s="5" t="s">
        <v>113</v>
      </c>
      <c r="F36" s="5" t="s">
        <v>111</v>
      </c>
      <c r="G36" s="5" t="s">
        <v>114</v>
      </c>
    </row>
    <row r="37" spans="1:7" ht="18.75" customHeight="1">
      <c r="A37" s="1" t="s">
        <v>102</v>
      </c>
      <c r="B37" s="1" t="s">
        <v>103</v>
      </c>
      <c r="C37" s="1" t="s">
        <v>50</v>
      </c>
      <c r="D37" s="1" t="s">
        <v>149</v>
      </c>
      <c r="E37" s="5" t="s">
        <v>110</v>
      </c>
      <c r="F37" s="5" t="s">
        <v>116</v>
      </c>
      <c r="G37" s="5" t="s">
        <v>114</v>
      </c>
    </row>
    <row r="38" spans="1:7" ht="18.75" customHeight="1">
      <c r="A38" s="1" t="s">
        <v>150</v>
      </c>
      <c r="B38" s="1" t="s">
        <v>151</v>
      </c>
      <c r="C38" s="1" t="s">
        <v>50</v>
      </c>
      <c r="D38" s="1" t="s">
        <v>152</v>
      </c>
      <c r="E38" s="5" t="s">
        <v>110</v>
      </c>
      <c r="F38" s="5" t="s">
        <v>111</v>
      </c>
      <c r="G38" s="5" t="s">
        <v>114</v>
      </c>
    </row>
    <row r="39" spans="1:7" ht="18.75" customHeight="1">
      <c r="A39" s="1" t="s">
        <v>153</v>
      </c>
      <c r="B39" s="1" t="s">
        <v>154</v>
      </c>
      <c r="C39" s="1" t="s">
        <v>50</v>
      </c>
      <c r="D39" s="1" t="s">
        <v>155</v>
      </c>
      <c r="E39" s="1" t="s">
        <v>113</v>
      </c>
      <c r="F39" s="1" t="s">
        <v>111</v>
      </c>
      <c r="G39" s="1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</sheetPr>
  <dimension ref="A1:G39"/>
  <sheetViews>
    <sheetView workbookViewId="0"/>
  </sheetViews>
  <sheetFormatPr defaultRowHeight="14.4"/>
  <cols>
    <col min="1" max="3" width="13.5546875" style="10" bestFit="1" customWidth="1"/>
    <col min="4" max="7" width="27.6640625" style="10" bestFit="1" customWidth="1"/>
  </cols>
  <sheetData>
    <row r="1" spans="1:7" ht="18.75" customHeight="1">
      <c r="A1" s="1"/>
      <c r="B1" s="1"/>
      <c r="C1" s="1"/>
      <c r="D1" s="1"/>
      <c r="E1" s="1"/>
      <c r="F1" s="1"/>
      <c r="G1" s="1"/>
    </row>
    <row r="2" spans="1:7" ht="18.75" customHeight="1">
      <c r="A2" s="1"/>
      <c r="B2" s="1"/>
      <c r="C2" s="1"/>
      <c r="D2" s="1"/>
      <c r="E2" s="1"/>
      <c r="F2" s="1"/>
      <c r="G2" s="1"/>
    </row>
    <row r="3" spans="1:7" ht="18.75" customHeight="1">
      <c r="A3" s="1" t="s">
        <v>5</v>
      </c>
      <c r="B3" s="1" t="s">
        <v>6</v>
      </c>
      <c r="C3" s="1" t="s">
        <v>7</v>
      </c>
      <c r="D3" s="1" t="s">
        <v>105</v>
      </c>
      <c r="E3" s="1" t="s">
        <v>106</v>
      </c>
      <c r="F3" s="1" t="s">
        <v>107</v>
      </c>
      <c r="G3" s="1" t="s">
        <v>108</v>
      </c>
    </row>
    <row r="4" spans="1:7" ht="18.75" customHeight="1">
      <c r="A4" s="3" t="s">
        <v>9</v>
      </c>
      <c r="B4" s="3" t="s">
        <v>10</v>
      </c>
      <c r="C4" s="3" t="s">
        <v>11</v>
      </c>
      <c r="D4" s="3" t="s">
        <v>109</v>
      </c>
      <c r="E4" s="3" t="s">
        <v>110</v>
      </c>
      <c r="F4" s="3" t="s">
        <v>111</v>
      </c>
      <c r="G4" s="1"/>
    </row>
    <row r="5" spans="1:7" ht="18.75" customHeight="1">
      <c r="A5" s="1" t="s">
        <v>13</v>
      </c>
      <c r="B5" s="1" t="s">
        <v>14</v>
      </c>
      <c r="C5" s="1" t="s">
        <v>11</v>
      </c>
      <c r="D5" s="5" t="s">
        <v>112</v>
      </c>
      <c r="E5" s="5" t="s">
        <v>113</v>
      </c>
      <c r="F5" s="1" t="s">
        <v>111</v>
      </c>
      <c r="G5" s="1" t="s">
        <v>114</v>
      </c>
    </row>
    <row r="6" spans="1:7" ht="18.75" customHeight="1">
      <c r="A6" s="1" t="s">
        <v>16</v>
      </c>
      <c r="B6" s="1" t="s">
        <v>17</v>
      </c>
      <c r="C6" s="1" t="s">
        <v>11</v>
      </c>
      <c r="D6" s="1" t="s">
        <v>115</v>
      </c>
      <c r="E6" s="1" t="s">
        <v>113</v>
      </c>
      <c r="F6" s="5" t="s">
        <v>116</v>
      </c>
      <c r="G6" s="5"/>
    </row>
    <row r="7" spans="1:7" ht="18.75" customHeight="1">
      <c r="A7" s="1" t="s">
        <v>19</v>
      </c>
      <c r="B7" s="1" t="s">
        <v>20</v>
      </c>
      <c r="C7" s="1" t="s">
        <v>11</v>
      </c>
      <c r="D7" s="1" t="s">
        <v>117</v>
      </c>
      <c r="E7" s="1" t="s">
        <v>113</v>
      </c>
      <c r="F7" s="1" t="s">
        <v>111</v>
      </c>
      <c r="G7" s="1" t="s">
        <v>114</v>
      </c>
    </row>
    <row r="8" spans="1:7" ht="18.75" customHeight="1">
      <c r="A8" s="1" t="s">
        <v>22</v>
      </c>
      <c r="B8" s="1" t="s">
        <v>23</v>
      </c>
      <c r="C8" s="1" t="s">
        <v>11</v>
      </c>
      <c r="D8" s="1" t="s">
        <v>118</v>
      </c>
      <c r="E8" s="1" t="s">
        <v>113</v>
      </c>
      <c r="F8" s="1" t="s">
        <v>116</v>
      </c>
      <c r="G8" s="1" t="s">
        <v>114</v>
      </c>
    </row>
    <row r="9" spans="1:7" ht="18.75" customHeight="1">
      <c r="A9" s="1" t="s">
        <v>25</v>
      </c>
      <c r="B9" s="1" t="s">
        <v>26</v>
      </c>
      <c r="C9" s="1" t="s">
        <v>11</v>
      </c>
      <c r="D9" s="1" t="s">
        <v>119</v>
      </c>
      <c r="E9" s="1" t="s">
        <v>113</v>
      </c>
      <c r="F9" s="1" t="s">
        <v>116</v>
      </c>
      <c r="G9" s="1" t="s">
        <v>114</v>
      </c>
    </row>
    <row r="10" spans="1:7" ht="18.75" customHeight="1">
      <c r="A10" s="1" t="s">
        <v>28</v>
      </c>
      <c r="B10" s="1" t="s">
        <v>29</v>
      </c>
      <c r="C10" s="1" t="s">
        <v>11</v>
      </c>
      <c r="D10" s="1" t="s">
        <v>120</v>
      </c>
      <c r="E10" s="1" t="s">
        <v>110</v>
      </c>
      <c r="F10" s="1" t="s">
        <v>111</v>
      </c>
      <c r="G10" s="1" t="s">
        <v>121</v>
      </c>
    </row>
    <row r="11" spans="1:7" ht="18.75" customHeight="1">
      <c r="A11" s="1" t="s">
        <v>31</v>
      </c>
      <c r="B11" s="1" t="s">
        <v>32</v>
      </c>
      <c r="C11" s="1" t="s">
        <v>11</v>
      </c>
      <c r="D11" s="1" t="s">
        <v>122</v>
      </c>
      <c r="E11" s="1" t="s">
        <v>110</v>
      </c>
      <c r="F11" s="1" t="s">
        <v>111</v>
      </c>
      <c r="G11" s="1" t="s">
        <v>121</v>
      </c>
    </row>
    <row r="12" spans="1:7" ht="18.75" customHeight="1">
      <c r="A12" s="1" t="s">
        <v>34</v>
      </c>
      <c r="B12" s="1" t="s">
        <v>35</v>
      </c>
      <c r="C12" s="1" t="s">
        <v>11</v>
      </c>
      <c r="D12" s="1" t="s">
        <v>123</v>
      </c>
      <c r="E12" s="1" t="s">
        <v>113</v>
      </c>
      <c r="F12" s="1" t="s">
        <v>116</v>
      </c>
      <c r="G12" s="1" t="s">
        <v>114</v>
      </c>
    </row>
    <row r="13" spans="1:7" ht="18.75" customHeight="1">
      <c r="A13" s="1" t="s">
        <v>37</v>
      </c>
      <c r="B13" s="1" t="s">
        <v>37</v>
      </c>
      <c r="C13" s="1" t="s">
        <v>11</v>
      </c>
      <c r="D13" s="1" t="s">
        <v>124</v>
      </c>
      <c r="E13" s="1" t="s">
        <v>110</v>
      </c>
      <c r="F13" s="1" t="s">
        <v>111</v>
      </c>
      <c r="G13" s="1" t="s">
        <v>121</v>
      </c>
    </row>
    <row r="14" spans="1:7" ht="18.75" customHeight="1">
      <c r="A14" s="1" t="s">
        <v>3</v>
      </c>
      <c r="B14" s="1" t="s">
        <v>38</v>
      </c>
      <c r="C14" s="1" t="s">
        <v>11</v>
      </c>
      <c r="D14" s="1" t="s">
        <v>125</v>
      </c>
      <c r="E14" s="1" t="s">
        <v>113</v>
      </c>
      <c r="F14" s="1" t="s">
        <v>111</v>
      </c>
      <c r="G14" s="1" t="s">
        <v>121</v>
      </c>
    </row>
    <row r="15" spans="1:7" ht="18.75" customHeight="1">
      <c r="A15" s="1" t="s">
        <v>40</v>
      </c>
      <c r="B15" s="1" t="s">
        <v>41</v>
      </c>
      <c r="C15" s="1" t="s">
        <v>11</v>
      </c>
      <c r="D15" s="1" t="s">
        <v>126</v>
      </c>
      <c r="E15" s="1" t="s">
        <v>113</v>
      </c>
      <c r="F15" s="1" t="s">
        <v>116</v>
      </c>
      <c r="G15" s="1" t="s">
        <v>114</v>
      </c>
    </row>
    <row r="16" spans="1:7" ht="18.75" customHeight="1">
      <c r="A16" s="1" t="s">
        <v>43</v>
      </c>
      <c r="B16" s="1" t="s">
        <v>44</v>
      </c>
      <c r="C16" s="1" t="s">
        <v>11</v>
      </c>
      <c r="D16" s="1" t="s">
        <v>127</v>
      </c>
      <c r="E16" s="1" t="s">
        <v>113</v>
      </c>
      <c r="F16" s="1" t="s">
        <v>111</v>
      </c>
      <c r="G16" s="1" t="s">
        <v>114</v>
      </c>
    </row>
    <row r="17" spans="1:7" ht="18.75" customHeight="1">
      <c r="A17" s="7" t="s">
        <v>45</v>
      </c>
      <c r="B17" s="7" t="s">
        <v>46</v>
      </c>
      <c r="C17" s="7" t="s">
        <v>11</v>
      </c>
      <c r="D17" s="7" t="s">
        <v>128</v>
      </c>
      <c r="E17" s="7" t="s">
        <v>113</v>
      </c>
      <c r="F17" s="7" t="s">
        <v>116</v>
      </c>
      <c r="G17" s="7" t="s">
        <v>121</v>
      </c>
    </row>
    <row r="18" spans="1:7" ht="18.75" customHeight="1">
      <c r="A18" s="1" t="s">
        <v>48</v>
      </c>
      <c r="B18" s="1" t="s">
        <v>49</v>
      </c>
      <c r="C18" s="1" t="s">
        <v>50</v>
      </c>
      <c r="D18" s="1" t="s">
        <v>129</v>
      </c>
      <c r="E18" s="1" t="s">
        <v>113</v>
      </c>
      <c r="F18" s="1" t="s">
        <v>116</v>
      </c>
      <c r="G18" s="1" t="s">
        <v>114</v>
      </c>
    </row>
    <row r="19" spans="1:7" ht="18.75" customHeight="1">
      <c r="A19" s="1" t="s">
        <v>52</v>
      </c>
      <c r="B19" s="1" t="s">
        <v>53</v>
      </c>
      <c r="C19" s="1" t="s">
        <v>50</v>
      </c>
      <c r="D19" s="1" t="s">
        <v>130</v>
      </c>
      <c r="E19" s="1" t="s">
        <v>113</v>
      </c>
      <c r="F19" s="1" t="s">
        <v>111</v>
      </c>
      <c r="G19" s="1" t="s">
        <v>114</v>
      </c>
    </row>
    <row r="20" spans="1:7" ht="18.75" customHeight="1">
      <c r="A20" s="1" t="s">
        <v>55</v>
      </c>
      <c r="B20" s="1" t="s">
        <v>56</v>
      </c>
      <c r="C20" s="1" t="s">
        <v>50</v>
      </c>
      <c r="D20" s="1" t="s">
        <v>131</v>
      </c>
      <c r="E20" s="1" t="s">
        <v>113</v>
      </c>
      <c r="F20" s="1" t="s">
        <v>116</v>
      </c>
      <c r="G20" s="1" t="s">
        <v>114</v>
      </c>
    </row>
    <row r="21" spans="1:7" ht="18.75" customHeight="1">
      <c r="A21" s="1" t="s">
        <v>58</v>
      </c>
      <c r="B21" s="1" t="s">
        <v>59</v>
      </c>
      <c r="C21" s="1" t="s">
        <v>50</v>
      </c>
      <c r="D21" s="1" t="s">
        <v>132</v>
      </c>
      <c r="E21" s="1" t="s">
        <v>113</v>
      </c>
      <c r="F21" s="1" t="s">
        <v>111</v>
      </c>
      <c r="G21" s="1" t="s">
        <v>114</v>
      </c>
    </row>
    <row r="22" spans="1:7" ht="18.75" customHeight="1">
      <c r="A22" s="1" t="s">
        <v>61</v>
      </c>
      <c r="B22" s="1" t="s">
        <v>62</v>
      </c>
      <c r="C22" s="1" t="s">
        <v>50</v>
      </c>
      <c r="D22" s="5" t="s">
        <v>133</v>
      </c>
      <c r="E22" s="5" t="s">
        <v>113</v>
      </c>
      <c r="F22" s="5" t="s">
        <v>116</v>
      </c>
      <c r="G22" s="5" t="s">
        <v>121</v>
      </c>
    </row>
    <row r="23" spans="1:7" ht="18.75" customHeight="1">
      <c r="A23" s="1" t="s">
        <v>64</v>
      </c>
      <c r="B23" s="1" t="s">
        <v>65</v>
      </c>
      <c r="C23" s="1" t="s">
        <v>50</v>
      </c>
      <c r="D23" s="1" t="s">
        <v>134</v>
      </c>
      <c r="E23" s="1" t="s">
        <v>110</v>
      </c>
      <c r="F23" s="1" t="s">
        <v>111</v>
      </c>
      <c r="G23" s="1" t="s">
        <v>114</v>
      </c>
    </row>
    <row r="24" spans="1:7" ht="18.75" customHeight="1">
      <c r="A24" s="1" t="s">
        <v>67</v>
      </c>
      <c r="B24" s="1" t="s">
        <v>68</v>
      </c>
      <c r="C24" s="1" t="s">
        <v>50</v>
      </c>
      <c r="D24" s="1" t="s">
        <v>135</v>
      </c>
      <c r="E24" s="1" t="s">
        <v>113</v>
      </c>
      <c r="F24" s="1" t="s">
        <v>111</v>
      </c>
      <c r="G24" s="1" t="s">
        <v>121</v>
      </c>
    </row>
    <row r="25" spans="1:7" ht="18.75" customHeight="1">
      <c r="A25" s="1" t="s">
        <v>70</v>
      </c>
      <c r="B25" s="1" t="s">
        <v>71</v>
      </c>
      <c r="C25" s="1" t="s">
        <v>50</v>
      </c>
      <c r="D25" s="1" t="s">
        <v>136</v>
      </c>
      <c r="E25" s="1" t="s">
        <v>113</v>
      </c>
      <c r="F25" s="1" t="s">
        <v>111</v>
      </c>
      <c r="G25" s="1" t="s">
        <v>121</v>
      </c>
    </row>
    <row r="26" spans="1:7" ht="18.75" customHeight="1">
      <c r="A26" s="1" t="s">
        <v>73</v>
      </c>
      <c r="B26" s="1" t="s">
        <v>74</v>
      </c>
      <c r="C26" s="1" t="s">
        <v>50</v>
      </c>
      <c r="D26" s="1" t="s">
        <v>137</v>
      </c>
      <c r="E26" s="1" t="s">
        <v>113</v>
      </c>
      <c r="F26" s="1" t="s">
        <v>116</v>
      </c>
      <c r="G26" s="1" t="s">
        <v>114</v>
      </c>
    </row>
    <row r="27" spans="1:7" ht="18.75" customHeight="1">
      <c r="A27" s="1" t="s">
        <v>76</v>
      </c>
      <c r="B27" s="1" t="s">
        <v>77</v>
      </c>
      <c r="C27" s="1" t="s">
        <v>50</v>
      </c>
      <c r="D27" s="5" t="s">
        <v>138</v>
      </c>
      <c r="E27" s="5" t="s">
        <v>110</v>
      </c>
      <c r="F27" s="5" t="s">
        <v>111</v>
      </c>
      <c r="G27" s="5" t="s">
        <v>114</v>
      </c>
    </row>
    <row r="28" spans="1:7" ht="18.75" customHeight="1">
      <c r="A28" s="1" t="s">
        <v>79</v>
      </c>
      <c r="B28" s="1" t="s">
        <v>80</v>
      </c>
      <c r="C28" s="1" t="s">
        <v>50</v>
      </c>
      <c r="D28" s="1" t="s">
        <v>139</v>
      </c>
      <c r="E28" s="1" t="s">
        <v>113</v>
      </c>
      <c r="F28" s="1" t="s">
        <v>111</v>
      </c>
      <c r="G28" s="1" t="s">
        <v>114</v>
      </c>
    </row>
    <row r="29" spans="1:7" ht="18.75" customHeight="1">
      <c r="A29" s="1" t="s">
        <v>82</v>
      </c>
      <c r="B29" s="1" t="s">
        <v>83</v>
      </c>
      <c r="C29" s="1" t="s">
        <v>50</v>
      </c>
      <c r="D29" s="5" t="s">
        <v>140</v>
      </c>
      <c r="E29" s="5" t="s">
        <v>113</v>
      </c>
      <c r="F29" s="5" t="s">
        <v>116</v>
      </c>
      <c r="G29" s="5" t="s">
        <v>114</v>
      </c>
    </row>
    <row r="30" spans="1:7" ht="18.75" customHeight="1">
      <c r="A30" s="1" t="s">
        <v>85</v>
      </c>
      <c r="B30" s="1" t="s">
        <v>86</v>
      </c>
      <c r="C30" s="1" t="s">
        <v>50</v>
      </c>
      <c r="D30" s="1" t="s">
        <v>141</v>
      </c>
      <c r="E30" s="1" t="s">
        <v>113</v>
      </c>
      <c r="F30" s="1" t="s">
        <v>116</v>
      </c>
      <c r="G30" s="1" t="s">
        <v>121</v>
      </c>
    </row>
    <row r="31" spans="1:7" ht="18.75" customHeight="1">
      <c r="A31" s="1" t="s">
        <v>88</v>
      </c>
      <c r="B31" s="1" t="s">
        <v>89</v>
      </c>
      <c r="C31" s="1" t="s">
        <v>50</v>
      </c>
      <c r="D31" s="5" t="s">
        <v>142</v>
      </c>
      <c r="E31" s="5" t="s">
        <v>113</v>
      </c>
      <c r="F31" s="5" t="s">
        <v>111</v>
      </c>
      <c r="G31" s="5" t="s">
        <v>114</v>
      </c>
    </row>
    <row r="32" spans="1:7" ht="18.75" customHeight="1">
      <c r="A32" s="1" t="s">
        <v>90</v>
      </c>
      <c r="B32" s="1" t="s">
        <v>91</v>
      </c>
      <c r="C32" s="1" t="s">
        <v>50</v>
      </c>
      <c r="D32" s="5" t="s">
        <v>143</v>
      </c>
      <c r="E32" s="5" t="s">
        <v>113</v>
      </c>
      <c r="F32" s="5" t="s">
        <v>116</v>
      </c>
      <c r="G32" s="5" t="s">
        <v>114</v>
      </c>
    </row>
    <row r="33" spans="1:7" ht="18.75" customHeight="1">
      <c r="A33" s="1" t="s">
        <v>93</v>
      </c>
      <c r="B33" s="1" t="s">
        <v>94</v>
      </c>
      <c r="C33" s="1" t="s">
        <v>50</v>
      </c>
      <c r="D33" s="1" t="s">
        <v>144</v>
      </c>
      <c r="E33" s="5" t="s">
        <v>113</v>
      </c>
      <c r="F33" s="5" t="s">
        <v>116</v>
      </c>
      <c r="G33" s="5" t="s">
        <v>114</v>
      </c>
    </row>
    <row r="34" spans="1:7" ht="18.75" customHeight="1">
      <c r="A34" s="1" t="s">
        <v>96</v>
      </c>
      <c r="B34" s="1" t="s">
        <v>97</v>
      </c>
      <c r="C34" s="1" t="s">
        <v>50</v>
      </c>
      <c r="D34" s="1" t="s">
        <v>145</v>
      </c>
      <c r="E34" s="5" t="s">
        <v>113</v>
      </c>
      <c r="F34" s="5" t="s">
        <v>111</v>
      </c>
      <c r="G34" s="5" t="s">
        <v>114</v>
      </c>
    </row>
    <row r="35" spans="1:7" ht="18.75" customHeight="1">
      <c r="A35" s="1" t="s">
        <v>99</v>
      </c>
      <c r="B35" s="1" t="s">
        <v>100</v>
      </c>
      <c r="C35" s="1" t="s">
        <v>50</v>
      </c>
      <c r="D35" s="1" t="s">
        <v>146</v>
      </c>
      <c r="E35" s="5" t="s">
        <v>113</v>
      </c>
      <c r="F35" s="5" t="s">
        <v>116</v>
      </c>
      <c r="G35" s="5" t="s">
        <v>114</v>
      </c>
    </row>
    <row r="36" spans="1:7" ht="18.75" customHeight="1">
      <c r="A36" s="1" t="s">
        <v>147</v>
      </c>
      <c r="B36" s="1" t="s">
        <v>104</v>
      </c>
      <c r="C36" s="1" t="s">
        <v>50</v>
      </c>
      <c r="D36" s="1" t="s">
        <v>148</v>
      </c>
      <c r="E36" s="5" t="s">
        <v>113</v>
      </c>
      <c r="F36" s="5" t="s">
        <v>111</v>
      </c>
      <c r="G36" s="5" t="s">
        <v>114</v>
      </c>
    </row>
    <row r="37" spans="1:7" ht="18.75" customHeight="1">
      <c r="A37" s="1" t="s">
        <v>102</v>
      </c>
      <c r="B37" s="1" t="s">
        <v>103</v>
      </c>
      <c r="C37" s="1" t="s">
        <v>50</v>
      </c>
      <c r="D37" s="1" t="s">
        <v>149</v>
      </c>
      <c r="E37" s="5" t="s">
        <v>110</v>
      </c>
      <c r="F37" s="5" t="s">
        <v>116</v>
      </c>
      <c r="G37" s="5" t="s">
        <v>114</v>
      </c>
    </row>
    <row r="38" spans="1:7" ht="18.75" customHeight="1">
      <c r="A38" s="1" t="s">
        <v>150</v>
      </c>
      <c r="B38" s="1" t="s">
        <v>151</v>
      </c>
      <c r="C38" s="1" t="s">
        <v>50</v>
      </c>
      <c r="D38" s="1" t="s">
        <v>152</v>
      </c>
      <c r="E38" s="5" t="s">
        <v>110</v>
      </c>
      <c r="F38" s="5" t="s">
        <v>111</v>
      </c>
      <c r="G38" s="5" t="s">
        <v>114</v>
      </c>
    </row>
    <row r="39" spans="1:7" ht="18.75" customHeight="1">
      <c r="A39" s="1" t="s">
        <v>153</v>
      </c>
      <c r="B39" s="1" t="s">
        <v>154</v>
      </c>
      <c r="C39" s="1" t="s">
        <v>50</v>
      </c>
      <c r="D39" s="1" t="s">
        <v>155</v>
      </c>
      <c r="E39" s="1" t="s">
        <v>113</v>
      </c>
      <c r="F39" s="1" t="s">
        <v>111</v>
      </c>
      <c r="G39" s="1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A1:BC34"/>
  <sheetViews>
    <sheetView tabSelected="1" topLeftCell="E1" workbookViewId="0">
      <selection activeCell="P2" sqref="P2"/>
    </sheetView>
  </sheetViews>
  <sheetFormatPr defaultRowHeight="14.4"/>
  <cols>
    <col min="1" max="3" width="13.5546875" style="10" bestFit="1" customWidth="1"/>
    <col min="4" max="13" width="18.44140625" style="11" bestFit="1" customWidth="1"/>
    <col min="14" max="15" width="18.44140625" style="11" customWidth="1"/>
    <col min="16" max="55" width="13.5546875" style="13" bestFit="1" customWidth="1"/>
  </cols>
  <sheetData>
    <row r="1" spans="1:55" ht="18.75" customHeight="1">
      <c r="A1" s="1"/>
      <c r="B1" s="1"/>
      <c r="C1" s="1"/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</row>
    <row r="2" spans="1:55" ht="18.75" customHeight="1">
      <c r="A2" s="1" t="s">
        <v>5</v>
      </c>
      <c r="B2" s="1" t="s">
        <v>6</v>
      </c>
      <c r="C2" s="1" t="s">
        <v>7</v>
      </c>
      <c r="D2" s="2">
        <v>16</v>
      </c>
      <c r="E2" s="2">
        <v>17</v>
      </c>
      <c r="F2" s="2">
        <v>18</v>
      </c>
      <c r="G2" s="2">
        <v>19</v>
      </c>
      <c r="H2" s="2">
        <v>20</v>
      </c>
      <c r="I2" s="2">
        <v>21</v>
      </c>
      <c r="J2" s="2">
        <v>22</v>
      </c>
      <c r="K2" s="2">
        <v>23</v>
      </c>
      <c r="L2" s="2">
        <v>24</v>
      </c>
      <c r="M2" s="2">
        <v>25</v>
      </c>
      <c r="N2" s="2">
        <v>26</v>
      </c>
      <c r="O2" s="2">
        <v>27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16</v>
      </c>
      <c r="AA2" s="2">
        <v>17</v>
      </c>
      <c r="AB2" s="2">
        <v>18</v>
      </c>
      <c r="AC2" s="2">
        <v>19</v>
      </c>
      <c r="AD2" s="2">
        <v>20</v>
      </c>
      <c r="AE2" s="2">
        <v>21</v>
      </c>
      <c r="AF2" s="2">
        <v>22</v>
      </c>
      <c r="AG2" s="2">
        <v>23</v>
      </c>
      <c r="AH2" s="2">
        <v>24</v>
      </c>
      <c r="AI2" s="2">
        <v>25</v>
      </c>
      <c r="AJ2" s="2">
        <v>16</v>
      </c>
      <c r="AK2" s="2">
        <v>17</v>
      </c>
      <c r="AL2" s="2">
        <v>18</v>
      </c>
      <c r="AM2" s="2">
        <v>19</v>
      </c>
      <c r="AN2" s="2">
        <v>20</v>
      </c>
      <c r="AO2" s="2">
        <v>21</v>
      </c>
      <c r="AP2" s="2">
        <v>22</v>
      </c>
      <c r="AQ2" s="2">
        <v>23</v>
      </c>
      <c r="AR2" s="2">
        <v>24</v>
      </c>
      <c r="AS2" s="2">
        <v>25</v>
      </c>
      <c r="AT2" s="2">
        <v>16</v>
      </c>
      <c r="AU2" s="2">
        <v>17</v>
      </c>
      <c r="AV2" s="2">
        <v>18</v>
      </c>
      <c r="AW2" s="2">
        <v>19</v>
      </c>
      <c r="AX2" s="2">
        <v>20</v>
      </c>
      <c r="AY2" s="2">
        <v>21</v>
      </c>
      <c r="AZ2" s="2">
        <v>22</v>
      </c>
      <c r="BA2" s="2">
        <v>23</v>
      </c>
      <c r="BB2" s="2">
        <v>24</v>
      </c>
      <c r="BC2" s="2">
        <v>25</v>
      </c>
    </row>
    <row r="3" spans="1:55" ht="18.75" customHeight="1" thickBot="1">
      <c r="A3" s="3" t="s">
        <v>9</v>
      </c>
      <c r="B3" s="3" t="s">
        <v>10</v>
      </c>
      <c r="C3" s="3" t="s">
        <v>11</v>
      </c>
      <c r="D3" s="4" t="str">
        <f t="shared" ref="D3:O12" ca="1" si="0">"EC"&amp;D$1&amp;$A3&amp;" "&amp;D$2&amp;" Index"</f>
        <v>ECGDJP 16 Index</v>
      </c>
      <c r="E3" s="4" t="str">
        <f t="shared" ca="1" si="0"/>
        <v>ECGDJP 17 Index</v>
      </c>
      <c r="F3" s="4" t="str">
        <f t="shared" ca="1" si="0"/>
        <v>ECGDJP 18 Index</v>
      </c>
      <c r="G3" s="4" t="str">
        <f t="shared" ca="1" si="0"/>
        <v>ECGDJP 19 Index</v>
      </c>
      <c r="H3" s="4" t="str">
        <f t="shared" ca="1" si="0"/>
        <v>ECGDJP 20 Index</v>
      </c>
      <c r="I3" s="4" t="str">
        <f t="shared" ca="1" si="0"/>
        <v>ECGDJP 21 Index</v>
      </c>
      <c r="J3" s="4" t="str">
        <f t="shared" ca="1" si="0"/>
        <v>ECGDJP 22 Index</v>
      </c>
      <c r="K3" s="4" t="str">
        <f t="shared" ca="1" si="0"/>
        <v>ECGDJP 23 Index</v>
      </c>
      <c r="L3" s="4" t="str">
        <f t="shared" ca="1" si="0"/>
        <v>ECGDJP 24 Index</v>
      </c>
      <c r="M3" s="4" t="str">
        <f t="shared" ca="1" si="0"/>
        <v>ECGDJP 25 Index</v>
      </c>
      <c r="N3" s="4" t="str">
        <f t="shared" ca="1" si="0"/>
        <v>ECGDJP 25 Index</v>
      </c>
      <c r="O3" s="4" t="str">
        <f t="shared" ca="1" si="0"/>
        <v>ECGDJP 25 Index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ht="18.75" customHeight="1" thickBot="1">
      <c r="A4" s="1" t="s">
        <v>13</v>
      </c>
      <c r="B4" s="1" t="s">
        <v>14</v>
      </c>
      <c r="C4" s="1" t="s">
        <v>11</v>
      </c>
      <c r="D4" s="6" t="str">
        <f t="shared" ca="1" si="0"/>
        <v>ECGDNO 16 Index</v>
      </c>
      <c r="E4" s="6" t="str">
        <f t="shared" ca="1" si="0"/>
        <v>ECGDNO 17 Index</v>
      </c>
      <c r="F4" s="6" t="str">
        <f t="shared" ca="1" si="0"/>
        <v>ECGDNO 18 Index</v>
      </c>
      <c r="G4" s="6" t="str">
        <f t="shared" ca="1" si="0"/>
        <v>ECGDNO 19 Index</v>
      </c>
      <c r="H4" s="6" t="str">
        <f t="shared" ca="1" si="0"/>
        <v>ECGDNO 20 Index</v>
      </c>
      <c r="I4" s="6" t="str">
        <f t="shared" ca="1" si="0"/>
        <v>ECGDNO 21 Index</v>
      </c>
      <c r="J4" s="6" t="str">
        <f t="shared" ca="1" si="0"/>
        <v>ECGDNO 22 Index</v>
      </c>
      <c r="K4" s="6" t="str">
        <f t="shared" ca="1" si="0"/>
        <v>ECGDNO 23 Index</v>
      </c>
      <c r="L4" s="6" t="str">
        <f t="shared" ca="1" si="0"/>
        <v>ECGDNO 24 Index</v>
      </c>
      <c r="M4" s="6" t="str">
        <f t="shared" ca="1" si="0"/>
        <v>ECGDNO 25 Index</v>
      </c>
      <c r="N4" s="6" t="str">
        <f t="shared" ca="1" si="0"/>
        <v>ECGDNO 25 Index</v>
      </c>
      <c r="O4" s="6" t="str">
        <f t="shared" ca="1" si="0"/>
        <v>ECGDNO 25 Index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 spans="1:55" ht="18.75" customHeight="1" thickBot="1">
      <c r="A5" s="1" t="s">
        <v>16</v>
      </c>
      <c r="B5" s="1" t="s">
        <v>17</v>
      </c>
      <c r="C5" s="1" t="s">
        <v>11</v>
      </c>
      <c r="D5" s="6" t="str">
        <f t="shared" ca="1" si="0"/>
        <v>ECGDSE 16 Index</v>
      </c>
      <c r="E5" s="6" t="str">
        <f t="shared" ca="1" si="0"/>
        <v>ECGDSE 17 Index</v>
      </c>
      <c r="F5" s="6" t="str">
        <f t="shared" ca="1" si="0"/>
        <v>ECGDSE 18 Index</v>
      </c>
      <c r="G5" s="6" t="str">
        <f t="shared" ca="1" si="0"/>
        <v>ECGDSE 19 Index</v>
      </c>
      <c r="H5" s="6" t="str">
        <f t="shared" ca="1" si="0"/>
        <v>ECGDSE 20 Index</v>
      </c>
      <c r="I5" s="6" t="str">
        <f t="shared" ca="1" si="0"/>
        <v>ECGDSE 21 Index</v>
      </c>
      <c r="J5" s="6" t="str">
        <f t="shared" ca="1" si="0"/>
        <v>ECGDSE 22 Index</v>
      </c>
      <c r="K5" s="6" t="str">
        <f t="shared" ca="1" si="0"/>
        <v>ECGDSE 23 Index</v>
      </c>
      <c r="L5" s="6" t="str">
        <f t="shared" ca="1" si="0"/>
        <v>ECGDSE 24 Index</v>
      </c>
      <c r="M5" s="6" t="str">
        <f t="shared" ca="1" si="0"/>
        <v>ECGDSE 25 Index</v>
      </c>
      <c r="N5" s="6" t="str">
        <f t="shared" ca="1" si="0"/>
        <v>ECGDSE 25 Index</v>
      </c>
      <c r="O5" s="6" t="str">
        <f t="shared" ca="1" si="0"/>
        <v>ECGDSE 25 Index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18.75" customHeight="1" thickBot="1">
      <c r="A6" s="1" t="s">
        <v>19</v>
      </c>
      <c r="B6" s="1" t="s">
        <v>20</v>
      </c>
      <c r="C6" s="1" t="s">
        <v>11</v>
      </c>
      <c r="D6" s="6" t="str">
        <f t="shared" ca="1" si="0"/>
        <v>ECGDEU 16 Index</v>
      </c>
      <c r="E6" s="6" t="str">
        <f t="shared" ca="1" si="0"/>
        <v>ECGDEU 17 Index</v>
      </c>
      <c r="F6" s="6" t="str">
        <f t="shared" ca="1" si="0"/>
        <v>ECGDEU 18 Index</v>
      </c>
      <c r="G6" s="6" t="str">
        <f t="shared" ca="1" si="0"/>
        <v>ECGDEU 19 Index</v>
      </c>
      <c r="H6" s="6" t="str">
        <f t="shared" ca="1" si="0"/>
        <v>ECGDEU 20 Index</v>
      </c>
      <c r="I6" s="6" t="str">
        <f t="shared" ca="1" si="0"/>
        <v>ECGDEU 21 Index</v>
      </c>
      <c r="J6" s="6" t="str">
        <f t="shared" ca="1" si="0"/>
        <v>ECGDEU 22 Index</v>
      </c>
      <c r="K6" s="6" t="str">
        <f t="shared" ca="1" si="0"/>
        <v>ECGDEU 23 Index</v>
      </c>
      <c r="L6" s="6" t="str">
        <f t="shared" ca="1" si="0"/>
        <v>ECGDEU 24 Index</v>
      </c>
      <c r="M6" s="6" t="str">
        <f t="shared" ca="1" si="0"/>
        <v>ECGDEU 25 Index</v>
      </c>
      <c r="N6" s="6" t="str">
        <f t="shared" ca="1" si="0"/>
        <v>ECGDEU 25 Index</v>
      </c>
      <c r="O6" s="6" t="str">
        <f t="shared" ca="1" si="0"/>
        <v>ECGDEU 25 Index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1:55" ht="18.75" customHeight="1" thickBot="1">
      <c r="A7" s="1" t="s">
        <v>22</v>
      </c>
      <c r="B7" s="1" t="s">
        <v>23</v>
      </c>
      <c r="C7" s="1" t="s">
        <v>11</v>
      </c>
      <c r="D7" s="6" t="str">
        <f t="shared" ca="1" si="0"/>
        <v>ECGDDE 16 Index</v>
      </c>
      <c r="E7" s="6" t="str">
        <f t="shared" ca="1" si="0"/>
        <v>ECGDDE 17 Index</v>
      </c>
      <c r="F7" s="6" t="str">
        <f t="shared" ca="1" si="0"/>
        <v>ECGDDE 18 Index</v>
      </c>
      <c r="G7" s="6" t="str">
        <f t="shared" ca="1" si="0"/>
        <v>ECGDDE 19 Index</v>
      </c>
      <c r="H7" s="6" t="str">
        <f t="shared" ca="1" si="0"/>
        <v>ECGDDE 20 Index</v>
      </c>
      <c r="I7" s="6" t="str">
        <f t="shared" ca="1" si="0"/>
        <v>ECGDDE 21 Index</v>
      </c>
      <c r="J7" s="6" t="str">
        <f t="shared" ca="1" si="0"/>
        <v>ECGDDE 22 Index</v>
      </c>
      <c r="K7" s="6" t="str">
        <f t="shared" ca="1" si="0"/>
        <v>ECGDDE 23 Index</v>
      </c>
      <c r="L7" s="6" t="str">
        <f t="shared" ca="1" si="0"/>
        <v>ECGDDE 24 Index</v>
      </c>
      <c r="M7" s="6" t="str">
        <f t="shared" ca="1" si="0"/>
        <v>ECGDDE 25 Index</v>
      </c>
      <c r="N7" s="6" t="str">
        <f t="shared" ca="1" si="0"/>
        <v>ECGDDE 25 Index</v>
      </c>
      <c r="O7" s="6" t="str">
        <f t="shared" ca="1" si="0"/>
        <v>ECGDDE 25 Index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</row>
    <row r="8" spans="1:55" ht="18.75" customHeight="1" thickBot="1">
      <c r="A8" s="1" t="s">
        <v>25</v>
      </c>
      <c r="B8" s="1" t="s">
        <v>26</v>
      </c>
      <c r="C8" s="1" t="s">
        <v>11</v>
      </c>
      <c r="D8" s="6" t="str">
        <f t="shared" ca="1" si="0"/>
        <v>ECGDFR 16 Index</v>
      </c>
      <c r="E8" s="6" t="str">
        <f t="shared" ca="1" si="0"/>
        <v>ECGDFR 17 Index</v>
      </c>
      <c r="F8" s="6" t="str">
        <f t="shared" ca="1" si="0"/>
        <v>ECGDFR 18 Index</v>
      </c>
      <c r="G8" s="6" t="str">
        <f t="shared" ca="1" si="0"/>
        <v>ECGDFR 19 Index</v>
      </c>
      <c r="H8" s="6" t="str">
        <f t="shared" ca="1" si="0"/>
        <v>ECGDFR 20 Index</v>
      </c>
      <c r="I8" s="6" t="str">
        <f t="shared" ca="1" si="0"/>
        <v>ECGDFR 21 Index</v>
      </c>
      <c r="J8" s="6" t="str">
        <f t="shared" ca="1" si="0"/>
        <v>ECGDFR 22 Index</v>
      </c>
      <c r="K8" s="6" t="str">
        <f t="shared" ca="1" si="0"/>
        <v>ECGDFR 23 Index</v>
      </c>
      <c r="L8" s="6" t="str">
        <f t="shared" ca="1" si="0"/>
        <v>ECGDFR 24 Index</v>
      </c>
      <c r="M8" s="6" t="str">
        <f t="shared" ca="1" si="0"/>
        <v>ECGDFR 25 Index</v>
      </c>
      <c r="N8" s="6" t="str">
        <f t="shared" ca="1" si="0"/>
        <v>ECGDFR 25 Index</v>
      </c>
      <c r="O8" s="6" t="str">
        <f t="shared" ca="1" si="0"/>
        <v>ECGDFR 25 Index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:55" ht="18.75" customHeight="1" thickBot="1">
      <c r="A9" s="1" t="s">
        <v>28</v>
      </c>
      <c r="B9" s="1" t="s">
        <v>29</v>
      </c>
      <c r="C9" s="1" t="s">
        <v>11</v>
      </c>
      <c r="D9" s="6" t="str">
        <f t="shared" ca="1" si="0"/>
        <v>ECGDIT 16 Index</v>
      </c>
      <c r="E9" s="6" t="str">
        <f t="shared" ca="1" si="0"/>
        <v>ECGDIT 17 Index</v>
      </c>
      <c r="F9" s="6" t="str">
        <f t="shared" ca="1" si="0"/>
        <v>ECGDIT 18 Index</v>
      </c>
      <c r="G9" s="6" t="str">
        <f t="shared" ca="1" si="0"/>
        <v>ECGDIT 19 Index</v>
      </c>
      <c r="H9" s="6" t="str">
        <f t="shared" ca="1" si="0"/>
        <v>ECGDIT 20 Index</v>
      </c>
      <c r="I9" s="6" t="str">
        <f t="shared" ca="1" si="0"/>
        <v>ECGDIT 21 Index</v>
      </c>
      <c r="J9" s="6" t="str">
        <f t="shared" ca="1" si="0"/>
        <v>ECGDIT 22 Index</v>
      </c>
      <c r="K9" s="6" t="str">
        <f t="shared" ca="1" si="0"/>
        <v>ECGDIT 23 Index</v>
      </c>
      <c r="L9" s="6" t="str">
        <f t="shared" ca="1" si="0"/>
        <v>ECGDIT 24 Index</v>
      </c>
      <c r="M9" s="6" t="str">
        <f t="shared" ca="1" si="0"/>
        <v>ECGDIT 25 Index</v>
      </c>
      <c r="N9" s="6" t="str">
        <f t="shared" ca="1" si="0"/>
        <v>ECGDIT 25 Index</v>
      </c>
      <c r="O9" s="6" t="str">
        <f t="shared" ca="1" si="0"/>
        <v>ECGDIT 25 Index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ht="18.75" customHeight="1" thickBot="1">
      <c r="A10" s="1" t="s">
        <v>31</v>
      </c>
      <c r="B10" s="1" t="s">
        <v>32</v>
      </c>
      <c r="C10" s="1" t="s">
        <v>11</v>
      </c>
      <c r="D10" s="6" t="str">
        <f t="shared" ca="1" si="0"/>
        <v>ECGDGB 16 Index</v>
      </c>
      <c r="E10" s="6" t="str">
        <f t="shared" ca="1" si="0"/>
        <v>ECGDGB 17 Index</v>
      </c>
      <c r="F10" s="6" t="str">
        <f t="shared" ca="1" si="0"/>
        <v>ECGDGB 18 Index</v>
      </c>
      <c r="G10" s="6" t="str">
        <f t="shared" ca="1" si="0"/>
        <v>ECGDGB 19 Index</v>
      </c>
      <c r="H10" s="6" t="str">
        <f t="shared" ca="1" si="0"/>
        <v>ECGDGB 20 Index</v>
      </c>
      <c r="I10" s="6" t="str">
        <f t="shared" ca="1" si="0"/>
        <v>ECGDGB 21 Index</v>
      </c>
      <c r="J10" s="6" t="str">
        <f t="shared" ca="1" si="0"/>
        <v>ECGDGB 22 Index</v>
      </c>
      <c r="K10" s="6" t="str">
        <f t="shared" ca="1" si="0"/>
        <v>ECGDGB 23 Index</v>
      </c>
      <c r="L10" s="6" t="str">
        <f t="shared" ca="1" si="0"/>
        <v>ECGDGB 24 Index</v>
      </c>
      <c r="M10" s="6" t="str">
        <f t="shared" ca="1" si="0"/>
        <v>ECGDGB 25 Index</v>
      </c>
      <c r="N10" s="6" t="str">
        <f t="shared" ca="1" si="0"/>
        <v>ECGDGB 25 Index</v>
      </c>
      <c r="O10" s="6" t="str">
        <f t="shared" ca="1" si="0"/>
        <v>ECGDGB 25 Index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spans="1:55" ht="18.75" customHeight="1" thickBot="1">
      <c r="A11" s="1" t="s">
        <v>34</v>
      </c>
      <c r="B11" s="1" t="s">
        <v>35</v>
      </c>
      <c r="C11" s="1" t="s">
        <v>11</v>
      </c>
      <c r="D11" s="6" t="str">
        <f t="shared" ca="1" si="0"/>
        <v>ECGDSP 16 Index</v>
      </c>
      <c r="E11" s="6" t="str">
        <f t="shared" ca="1" si="0"/>
        <v>ECGDSP 17 Index</v>
      </c>
      <c r="F11" s="6" t="str">
        <f t="shared" ca="1" si="0"/>
        <v>ECGDSP 18 Index</v>
      </c>
      <c r="G11" s="6" t="str">
        <f t="shared" ca="1" si="0"/>
        <v>ECGDSP 19 Index</v>
      </c>
      <c r="H11" s="6" t="str">
        <f t="shared" ca="1" si="0"/>
        <v>ECGDSP 20 Index</v>
      </c>
      <c r="I11" s="6" t="str">
        <f t="shared" ca="1" si="0"/>
        <v>ECGDSP 21 Index</v>
      </c>
      <c r="J11" s="6" t="str">
        <f t="shared" ca="1" si="0"/>
        <v>ECGDSP 22 Index</v>
      </c>
      <c r="K11" s="6" t="str">
        <f t="shared" ca="1" si="0"/>
        <v>ECGDSP 23 Index</v>
      </c>
      <c r="L11" s="6" t="str">
        <f t="shared" ca="1" si="0"/>
        <v>ECGDSP 24 Index</v>
      </c>
      <c r="M11" s="6" t="str">
        <f t="shared" ca="1" si="0"/>
        <v>ECGDSP 25 Index</v>
      </c>
      <c r="N11" s="6" t="str">
        <f t="shared" ca="1" si="0"/>
        <v>ECGDSP 25 Index</v>
      </c>
      <c r="O11" s="6" t="str">
        <f t="shared" ca="1" si="0"/>
        <v>ECGDSP 25 Index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</row>
    <row r="12" spans="1:55" ht="18.75" customHeight="1" thickBot="1">
      <c r="A12" s="1" t="s">
        <v>37</v>
      </c>
      <c r="B12" s="1" t="s">
        <v>37</v>
      </c>
      <c r="C12" s="1" t="s">
        <v>11</v>
      </c>
      <c r="D12" s="6" t="str">
        <f t="shared" ca="1" si="0"/>
        <v>ECGDUS 16 Index</v>
      </c>
      <c r="E12" s="6" t="str">
        <f t="shared" ca="1" si="0"/>
        <v>ECGDUS 17 Index</v>
      </c>
      <c r="F12" s="6" t="str">
        <f t="shared" ca="1" si="0"/>
        <v>ECGDUS 18 Index</v>
      </c>
      <c r="G12" s="6" t="str">
        <f t="shared" ca="1" si="0"/>
        <v>ECGDUS 19 Index</v>
      </c>
      <c r="H12" s="6" t="str">
        <f t="shared" ca="1" si="0"/>
        <v>ECGDUS 20 Index</v>
      </c>
      <c r="I12" s="6" t="str">
        <f t="shared" ca="1" si="0"/>
        <v>ECGDUS 21 Index</v>
      </c>
      <c r="J12" s="6" t="str">
        <f t="shared" ca="1" si="0"/>
        <v>ECGDUS 22 Index</v>
      </c>
      <c r="K12" s="6" t="str">
        <f t="shared" ca="1" si="0"/>
        <v>ECGDUS 23 Index</v>
      </c>
      <c r="L12" s="6" t="str">
        <f t="shared" ca="1" si="0"/>
        <v>ECGDUS 24 Index</v>
      </c>
      <c r="M12" s="6" t="str">
        <f t="shared" ca="1" si="0"/>
        <v>ECGDUS 25 Index</v>
      </c>
      <c r="N12" s="6" t="str">
        <f t="shared" ca="1" si="0"/>
        <v>ECGDUS 25 Index</v>
      </c>
      <c r="O12" s="6" t="str">
        <f t="shared" ca="1" si="0"/>
        <v>ECGDUS 25 Index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</row>
    <row r="13" spans="1:55" ht="18.75" customHeight="1" thickBot="1">
      <c r="A13" s="1" t="s">
        <v>3</v>
      </c>
      <c r="B13" s="1" t="s">
        <v>38</v>
      </c>
      <c r="C13" s="1" t="s">
        <v>11</v>
      </c>
      <c r="D13" s="6" t="str">
        <f t="shared" ref="D13:O22" ca="1" si="1">"EC"&amp;D$1&amp;$A13&amp;" "&amp;D$2&amp;" Index"</f>
        <v>ECGDCA 16 Index</v>
      </c>
      <c r="E13" s="6" t="str">
        <f t="shared" ca="1" si="1"/>
        <v>ECGDCA 17 Index</v>
      </c>
      <c r="F13" s="6" t="str">
        <f t="shared" ca="1" si="1"/>
        <v>ECGDCA 18 Index</v>
      </c>
      <c r="G13" s="6" t="str">
        <f t="shared" ca="1" si="1"/>
        <v>ECGDCA 19 Index</v>
      </c>
      <c r="H13" s="6" t="str">
        <f t="shared" ca="1" si="1"/>
        <v>ECGDCA 20 Index</v>
      </c>
      <c r="I13" s="6" t="str">
        <f t="shared" ca="1" si="1"/>
        <v>ECGDCA 21 Index</v>
      </c>
      <c r="J13" s="6" t="str">
        <f t="shared" ca="1" si="1"/>
        <v>ECGDCA 22 Index</v>
      </c>
      <c r="K13" s="6" t="str">
        <f t="shared" ca="1" si="1"/>
        <v>ECGDCA 23 Index</v>
      </c>
      <c r="L13" s="6" t="str">
        <f t="shared" ca="1" si="1"/>
        <v>ECGDCA 24 Index</v>
      </c>
      <c r="M13" s="6" t="str">
        <f t="shared" ca="1" si="1"/>
        <v>ECGDCA 25 Index</v>
      </c>
      <c r="N13" s="6" t="str">
        <f t="shared" ca="1" si="1"/>
        <v>ECGDCA 25 Index</v>
      </c>
      <c r="O13" s="6" t="str">
        <f t="shared" ca="1" si="1"/>
        <v>ECGDCA 25 Index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 ht="18.75" customHeight="1" thickBot="1">
      <c r="A14" s="1" t="s">
        <v>40</v>
      </c>
      <c r="B14" s="1" t="s">
        <v>41</v>
      </c>
      <c r="C14" s="1" t="s">
        <v>11</v>
      </c>
      <c r="D14" s="6" t="str">
        <f t="shared" ca="1" si="1"/>
        <v>ECGDAU 16 Index</v>
      </c>
      <c r="E14" s="6" t="str">
        <f t="shared" ca="1" si="1"/>
        <v>ECGDAU 17 Index</v>
      </c>
      <c r="F14" s="6" t="str">
        <f t="shared" ca="1" si="1"/>
        <v>ECGDAU 18 Index</v>
      </c>
      <c r="G14" s="6" t="str">
        <f t="shared" ca="1" si="1"/>
        <v>ECGDAU 19 Index</v>
      </c>
      <c r="H14" s="6" t="str">
        <f t="shared" ca="1" si="1"/>
        <v>ECGDAU 20 Index</v>
      </c>
      <c r="I14" s="6" t="str">
        <f t="shared" ca="1" si="1"/>
        <v>ECGDAU 21 Index</v>
      </c>
      <c r="J14" s="6" t="str">
        <f t="shared" ca="1" si="1"/>
        <v>ECGDAU 22 Index</v>
      </c>
      <c r="K14" s="6" t="str">
        <f t="shared" ca="1" si="1"/>
        <v>ECGDAU 23 Index</v>
      </c>
      <c r="L14" s="6" t="str">
        <f t="shared" ca="1" si="1"/>
        <v>ECGDAU 24 Index</v>
      </c>
      <c r="M14" s="6" t="str">
        <f t="shared" ca="1" si="1"/>
        <v>ECGDAU 25 Index</v>
      </c>
      <c r="N14" s="6" t="str">
        <f t="shared" ca="1" si="1"/>
        <v>ECGDAU 25 Index</v>
      </c>
      <c r="O14" s="6" t="str">
        <f t="shared" ca="1" si="1"/>
        <v>ECGDAU 25 Index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ht="18.75" customHeight="1" thickBot="1">
      <c r="A15" s="1" t="s">
        <v>43</v>
      </c>
      <c r="B15" s="1" t="s">
        <v>44</v>
      </c>
      <c r="C15" s="1" t="s">
        <v>11</v>
      </c>
      <c r="D15" s="6" t="str">
        <f t="shared" ca="1" si="1"/>
        <v>ECGDNZ 16 Index</v>
      </c>
      <c r="E15" s="6" t="str">
        <f t="shared" ca="1" si="1"/>
        <v>ECGDNZ 17 Index</v>
      </c>
      <c r="F15" s="6" t="str">
        <f t="shared" ca="1" si="1"/>
        <v>ECGDNZ 18 Index</v>
      </c>
      <c r="G15" s="6" t="str">
        <f t="shared" ca="1" si="1"/>
        <v>ECGDNZ 19 Index</v>
      </c>
      <c r="H15" s="6" t="str">
        <f t="shared" ca="1" si="1"/>
        <v>ECGDNZ 20 Index</v>
      </c>
      <c r="I15" s="6" t="str">
        <f t="shared" ca="1" si="1"/>
        <v>ECGDNZ 21 Index</v>
      </c>
      <c r="J15" s="6" t="str">
        <f t="shared" ca="1" si="1"/>
        <v>ECGDNZ 22 Index</v>
      </c>
      <c r="K15" s="6" t="str">
        <f t="shared" ca="1" si="1"/>
        <v>ECGDNZ 23 Index</v>
      </c>
      <c r="L15" s="6" t="str">
        <f t="shared" ca="1" si="1"/>
        <v>ECGDNZ 24 Index</v>
      </c>
      <c r="M15" s="6" t="str">
        <f t="shared" ca="1" si="1"/>
        <v>ECGDNZ 25 Index</v>
      </c>
      <c r="N15" s="6" t="str">
        <f t="shared" ca="1" si="1"/>
        <v>ECGDNZ 25 Index</v>
      </c>
      <c r="O15" s="6" t="str">
        <f t="shared" ca="1" si="1"/>
        <v>ECGDNZ 25 Index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ht="18.75" customHeight="1" thickBot="1">
      <c r="A16" s="1" t="s">
        <v>45</v>
      </c>
      <c r="B16" s="1" t="s">
        <v>46</v>
      </c>
      <c r="C16" s="1" t="s">
        <v>11</v>
      </c>
      <c r="D16" s="6" t="str">
        <f t="shared" ca="1" si="1"/>
        <v>ECGDCH 16 Index</v>
      </c>
      <c r="E16" s="6" t="str">
        <f t="shared" ca="1" si="1"/>
        <v>ECGDCH 17 Index</v>
      </c>
      <c r="F16" s="6" t="str">
        <f t="shared" ca="1" si="1"/>
        <v>ECGDCH 18 Index</v>
      </c>
      <c r="G16" s="6" t="str">
        <f t="shared" ca="1" si="1"/>
        <v>ECGDCH 19 Index</v>
      </c>
      <c r="H16" s="6" t="str">
        <f t="shared" ca="1" si="1"/>
        <v>ECGDCH 20 Index</v>
      </c>
      <c r="I16" s="6" t="str">
        <f t="shared" ca="1" si="1"/>
        <v>ECGDCH 21 Index</v>
      </c>
      <c r="J16" s="6" t="str">
        <f t="shared" ca="1" si="1"/>
        <v>ECGDCH 22 Index</v>
      </c>
      <c r="K16" s="6" t="str">
        <f t="shared" ca="1" si="1"/>
        <v>ECGDCH 23 Index</v>
      </c>
      <c r="L16" s="6" t="str">
        <f t="shared" ca="1" si="1"/>
        <v>ECGDCH 24 Index</v>
      </c>
      <c r="M16" s="6" t="str">
        <f t="shared" ca="1" si="1"/>
        <v>ECGDCH 25 Index</v>
      </c>
      <c r="N16" s="6" t="str">
        <f t="shared" ca="1" si="1"/>
        <v>ECGDCH 25 Index</v>
      </c>
      <c r="O16" s="6" t="str">
        <f t="shared" ca="1" si="1"/>
        <v>ECGDCH 25 Index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  <row r="17" spans="1:55" ht="18.75" customHeight="1" thickBot="1">
      <c r="A17" s="3" t="s">
        <v>48</v>
      </c>
      <c r="B17" s="3" t="s">
        <v>49</v>
      </c>
      <c r="C17" s="3" t="s">
        <v>50</v>
      </c>
      <c r="D17" s="6" t="str">
        <f t="shared" ca="1" si="1"/>
        <v>ECGDTR 16 Index</v>
      </c>
      <c r="E17" s="6" t="str">
        <f t="shared" ca="1" si="1"/>
        <v>ECGDTR 17 Index</v>
      </c>
      <c r="F17" s="6" t="str">
        <f t="shared" ca="1" si="1"/>
        <v>ECGDTR 18 Index</v>
      </c>
      <c r="G17" s="6" t="str">
        <f t="shared" ca="1" si="1"/>
        <v>ECGDTR 19 Index</v>
      </c>
      <c r="H17" s="6" t="str">
        <f t="shared" ca="1" si="1"/>
        <v>ECGDTR 20 Index</v>
      </c>
      <c r="I17" s="6" t="str">
        <f t="shared" ca="1" si="1"/>
        <v>ECGDTR 21 Index</v>
      </c>
      <c r="J17" s="6" t="str">
        <f t="shared" ca="1" si="1"/>
        <v>ECGDTR 22 Index</v>
      </c>
      <c r="K17" s="6" t="str">
        <f t="shared" ca="1" si="1"/>
        <v>ECGDTR 23 Index</v>
      </c>
      <c r="L17" s="6" t="str">
        <f t="shared" ca="1" si="1"/>
        <v>ECGDTR 24 Index</v>
      </c>
      <c r="M17" s="6" t="str">
        <f t="shared" ca="1" si="1"/>
        <v>ECGDTR 25 Index</v>
      </c>
      <c r="N17" s="6" t="str">
        <f t="shared" ca="1" si="1"/>
        <v>ECGDTR 25 Index</v>
      </c>
      <c r="O17" s="6" t="str">
        <f t="shared" ca="1" si="1"/>
        <v>ECGDTR 25 Index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</row>
    <row r="18" spans="1:55" ht="18.75" customHeight="1" thickBot="1">
      <c r="A18" s="1" t="s">
        <v>52</v>
      </c>
      <c r="B18" s="1" t="s">
        <v>53</v>
      </c>
      <c r="C18" s="1" t="s">
        <v>50</v>
      </c>
      <c r="D18" s="6" t="str">
        <f t="shared" ca="1" si="1"/>
        <v>ECGDTH 16 Index</v>
      </c>
      <c r="E18" s="6" t="str">
        <f t="shared" ca="1" si="1"/>
        <v>ECGDTH 17 Index</v>
      </c>
      <c r="F18" s="6" t="str">
        <f t="shared" ca="1" si="1"/>
        <v>ECGDTH 18 Index</v>
      </c>
      <c r="G18" s="6" t="str">
        <f t="shared" ca="1" si="1"/>
        <v>ECGDTH 19 Index</v>
      </c>
      <c r="H18" s="6" t="str">
        <f t="shared" ca="1" si="1"/>
        <v>ECGDTH 20 Index</v>
      </c>
      <c r="I18" s="6" t="str">
        <f t="shared" ca="1" si="1"/>
        <v>ECGDTH 21 Index</v>
      </c>
      <c r="J18" s="6" t="str">
        <f t="shared" ca="1" si="1"/>
        <v>ECGDTH 22 Index</v>
      </c>
      <c r="K18" s="6" t="str">
        <f t="shared" ca="1" si="1"/>
        <v>ECGDTH 23 Index</v>
      </c>
      <c r="L18" s="6" t="str">
        <f t="shared" ca="1" si="1"/>
        <v>ECGDTH 24 Index</v>
      </c>
      <c r="M18" s="6" t="str">
        <f t="shared" ca="1" si="1"/>
        <v>ECGDTH 25 Index</v>
      </c>
      <c r="N18" s="6" t="str">
        <f t="shared" ca="1" si="1"/>
        <v>ECGDTH 25 Index</v>
      </c>
      <c r="O18" s="6" t="str">
        <f t="shared" ca="1" si="1"/>
        <v>ECGDTH 25 Index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</row>
    <row r="19" spans="1:55" ht="18.75" customHeight="1" thickBot="1">
      <c r="A19" s="1" t="s">
        <v>55</v>
      </c>
      <c r="B19" s="1" t="s">
        <v>56</v>
      </c>
      <c r="C19" s="1" t="s">
        <v>50</v>
      </c>
      <c r="D19" s="6" t="str">
        <f t="shared" ca="1" si="1"/>
        <v>ECGDID 16 Index</v>
      </c>
      <c r="E19" s="6" t="str">
        <f t="shared" ca="1" si="1"/>
        <v>ECGDID 17 Index</v>
      </c>
      <c r="F19" s="6" t="str">
        <f t="shared" ca="1" si="1"/>
        <v>ECGDID 18 Index</v>
      </c>
      <c r="G19" s="6" t="str">
        <f t="shared" ca="1" si="1"/>
        <v>ECGDID 19 Index</v>
      </c>
      <c r="H19" s="6" t="str">
        <f t="shared" ca="1" si="1"/>
        <v>ECGDID 20 Index</v>
      </c>
      <c r="I19" s="6" t="str">
        <f t="shared" ca="1" si="1"/>
        <v>ECGDID 21 Index</v>
      </c>
      <c r="J19" s="6" t="str">
        <f t="shared" ca="1" si="1"/>
        <v>ECGDID 22 Index</v>
      </c>
      <c r="K19" s="6" t="str">
        <f t="shared" ca="1" si="1"/>
        <v>ECGDID 23 Index</v>
      </c>
      <c r="L19" s="6" t="str">
        <f t="shared" ca="1" si="1"/>
        <v>ECGDID 24 Index</v>
      </c>
      <c r="M19" s="6" t="str">
        <f t="shared" ca="1" si="1"/>
        <v>ECGDID 25 Index</v>
      </c>
      <c r="N19" s="6" t="str">
        <f t="shared" ca="1" si="1"/>
        <v>ECGDID 25 Index</v>
      </c>
      <c r="O19" s="6" t="str">
        <f t="shared" ca="1" si="1"/>
        <v>ECGDID 25 Index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</row>
    <row r="20" spans="1:55" ht="18.75" customHeight="1" thickBot="1">
      <c r="A20" s="1" t="s">
        <v>58</v>
      </c>
      <c r="B20" s="1" t="s">
        <v>59</v>
      </c>
      <c r="C20" s="1" t="s">
        <v>50</v>
      </c>
      <c r="D20" s="6" t="str">
        <f t="shared" ca="1" si="1"/>
        <v>ECGDMY 16 Index</v>
      </c>
      <c r="E20" s="6" t="str">
        <f t="shared" ca="1" si="1"/>
        <v>ECGDMY 17 Index</v>
      </c>
      <c r="F20" s="6" t="str">
        <f t="shared" ca="1" si="1"/>
        <v>ECGDMY 18 Index</v>
      </c>
      <c r="G20" s="6" t="str">
        <f t="shared" ca="1" si="1"/>
        <v>ECGDMY 19 Index</v>
      </c>
      <c r="H20" s="6" t="str">
        <f t="shared" ca="1" si="1"/>
        <v>ECGDMY 20 Index</v>
      </c>
      <c r="I20" s="6" t="str">
        <f t="shared" ca="1" si="1"/>
        <v>ECGDMY 21 Index</v>
      </c>
      <c r="J20" s="6" t="str">
        <f t="shared" ca="1" si="1"/>
        <v>ECGDMY 22 Index</v>
      </c>
      <c r="K20" s="6" t="str">
        <f t="shared" ca="1" si="1"/>
        <v>ECGDMY 23 Index</v>
      </c>
      <c r="L20" s="6" t="str">
        <f t="shared" ca="1" si="1"/>
        <v>ECGDMY 24 Index</v>
      </c>
      <c r="M20" s="6" t="str">
        <f t="shared" ca="1" si="1"/>
        <v>ECGDMY 25 Index</v>
      </c>
      <c r="N20" s="6" t="str">
        <f t="shared" ca="1" si="1"/>
        <v>ECGDMY 25 Index</v>
      </c>
      <c r="O20" s="6" t="str">
        <f t="shared" ca="1" si="1"/>
        <v>ECGDMY 25 Index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</row>
    <row r="21" spans="1:55" ht="18.75" customHeight="1" thickBot="1">
      <c r="A21" s="1" t="s">
        <v>61</v>
      </c>
      <c r="B21" s="1" t="s">
        <v>62</v>
      </c>
      <c r="C21" s="1" t="s">
        <v>50</v>
      </c>
      <c r="D21" s="6" t="str">
        <f t="shared" ca="1" si="1"/>
        <v>ECGDZA 16 Index</v>
      </c>
      <c r="E21" s="6" t="str">
        <f t="shared" ca="1" si="1"/>
        <v>ECGDZA 17 Index</v>
      </c>
      <c r="F21" s="6" t="str">
        <f t="shared" ca="1" si="1"/>
        <v>ECGDZA 18 Index</v>
      </c>
      <c r="G21" s="6" t="str">
        <f t="shared" ca="1" si="1"/>
        <v>ECGDZA 19 Index</v>
      </c>
      <c r="H21" s="6" t="str">
        <f t="shared" ca="1" si="1"/>
        <v>ECGDZA 20 Index</v>
      </c>
      <c r="I21" s="6" t="str">
        <f t="shared" ca="1" si="1"/>
        <v>ECGDZA 21 Index</v>
      </c>
      <c r="J21" s="6" t="str">
        <f t="shared" ca="1" si="1"/>
        <v>ECGDZA 22 Index</v>
      </c>
      <c r="K21" s="6" t="str">
        <f t="shared" ca="1" si="1"/>
        <v>ECGDZA 23 Index</v>
      </c>
      <c r="L21" s="6" t="str">
        <f t="shared" ca="1" si="1"/>
        <v>ECGDZA 24 Index</v>
      </c>
      <c r="M21" s="6" t="str">
        <f t="shared" ca="1" si="1"/>
        <v>ECGDZA 25 Index</v>
      </c>
      <c r="N21" s="6" t="str">
        <f t="shared" ca="1" si="1"/>
        <v>ECGDZA 25 Index</v>
      </c>
      <c r="O21" s="6" t="str">
        <f t="shared" ca="1" si="1"/>
        <v>ECGDZA 25 Index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</row>
    <row r="22" spans="1:55" ht="18.75" customHeight="1" thickBot="1">
      <c r="A22" s="1" t="s">
        <v>64</v>
      </c>
      <c r="B22" s="1" t="s">
        <v>65</v>
      </c>
      <c r="C22" s="1" t="s">
        <v>50</v>
      </c>
      <c r="D22" s="6" t="str">
        <f t="shared" ca="1" si="1"/>
        <v>ECGDCN 16 Index</v>
      </c>
      <c r="E22" s="6" t="str">
        <f t="shared" ca="1" si="1"/>
        <v>ECGDCN 17 Index</v>
      </c>
      <c r="F22" s="6" t="str">
        <f t="shared" ca="1" si="1"/>
        <v>ECGDCN 18 Index</v>
      </c>
      <c r="G22" s="6" t="str">
        <f t="shared" ca="1" si="1"/>
        <v>ECGDCN 19 Index</v>
      </c>
      <c r="H22" s="6" t="str">
        <f t="shared" ca="1" si="1"/>
        <v>ECGDCN 20 Index</v>
      </c>
      <c r="I22" s="6" t="str">
        <f t="shared" ca="1" si="1"/>
        <v>ECGDCN 21 Index</v>
      </c>
      <c r="J22" s="6" t="str">
        <f t="shared" ca="1" si="1"/>
        <v>ECGDCN 22 Index</v>
      </c>
      <c r="K22" s="6" t="str">
        <f t="shared" ca="1" si="1"/>
        <v>ECGDCN 23 Index</v>
      </c>
      <c r="L22" s="6" t="str">
        <f t="shared" ca="1" si="1"/>
        <v>ECGDCN 24 Index</v>
      </c>
      <c r="M22" s="6" t="str">
        <f t="shared" ca="1" si="1"/>
        <v>ECGDCN 25 Index</v>
      </c>
      <c r="N22" s="6" t="str">
        <f t="shared" ca="1" si="1"/>
        <v>ECGDCN 25 Index</v>
      </c>
      <c r="O22" s="6" t="str">
        <f t="shared" ca="1" si="1"/>
        <v>ECGDCN 25 Index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</row>
    <row r="23" spans="1:55" ht="18.75" customHeight="1" thickBot="1">
      <c r="A23" s="1" t="s">
        <v>67</v>
      </c>
      <c r="B23" s="1" t="s">
        <v>68</v>
      </c>
      <c r="C23" s="1" t="s">
        <v>50</v>
      </c>
      <c r="D23" s="6" t="str">
        <f t="shared" ref="D23:O34" ca="1" si="2">"EC"&amp;D$1&amp;$A23&amp;" "&amp;D$2&amp;" Index"</f>
        <v>ECGDIL 16 Index</v>
      </c>
      <c r="E23" s="6" t="str">
        <f t="shared" ca="1" si="2"/>
        <v>ECGDIL 17 Index</v>
      </c>
      <c r="F23" s="6" t="str">
        <f t="shared" ca="1" si="2"/>
        <v>ECGDIL 18 Index</v>
      </c>
      <c r="G23" s="6" t="str">
        <f t="shared" ca="1" si="2"/>
        <v>ECGDIL 19 Index</v>
      </c>
      <c r="H23" s="6" t="str">
        <f t="shared" ca="1" si="2"/>
        <v>ECGDIL 20 Index</v>
      </c>
      <c r="I23" s="6" t="str">
        <f t="shared" ca="1" si="2"/>
        <v>ECGDIL 21 Index</v>
      </c>
      <c r="J23" s="6" t="str">
        <f t="shared" ca="1" si="2"/>
        <v>ECGDIL 22 Index</v>
      </c>
      <c r="K23" s="6" t="str">
        <f t="shared" ca="1" si="2"/>
        <v>ECGDIL 23 Index</v>
      </c>
      <c r="L23" s="6" t="str">
        <f t="shared" ca="1" si="2"/>
        <v>ECGDIL 24 Index</v>
      </c>
      <c r="M23" s="6" t="str">
        <f t="shared" ca="1" si="2"/>
        <v>ECGDIL 25 Index</v>
      </c>
      <c r="N23" s="6" t="str">
        <f t="shared" ca="1" si="2"/>
        <v>ECGDIL 25 Index</v>
      </c>
      <c r="O23" s="6" t="str">
        <f t="shared" ca="1" si="2"/>
        <v>ECGDIL 25 Index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</row>
    <row r="24" spans="1:55" ht="18.75" customHeight="1" thickBot="1">
      <c r="A24" s="1" t="s">
        <v>70</v>
      </c>
      <c r="B24" s="1" t="s">
        <v>71</v>
      </c>
      <c r="C24" s="1" t="s">
        <v>50</v>
      </c>
      <c r="D24" s="6" t="str">
        <f t="shared" ca="1" si="2"/>
        <v>ECGDKR 16 Index</v>
      </c>
      <c r="E24" s="6" t="str">
        <f t="shared" ca="1" si="2"/>
        <v>ECGDKR 17 Index</v>
      </c>
      <c r="F24" s="6" t="str">
        <f t="shared" ca="1" si="2"/>
        <v>ECGDKR 18 Index</v>
      </c>
      <c r="G24" s="6" t="str">
        <f t="shared" ca="1" si="2"/>
        <v>ECGDKR 19 Index</v>
      </c>
      <c r="H24" s="6" t="str">
        <f t="shared" ca="1" si="2"/>
        <v>ECGDKR 20 Index</v>
      </c>
      <c r="I24" s="6" t="str">
        <f t="shared" ca="1" si="2"/>
        <v>ECGDKR 21 Index</v>
      </c>
      <c r="J24" s="6" t="str">
        <f t="shared" ca="1" si="2"/>
        <v>ECGDKR 22 Index</v>
      </c>
      <c r="K24" s="6" t="str">
        <f t="shared" ca="1" si="2"/>
        <v>ECGDKR 23 Index</v>
      </c>
      <c r="L24" s="6" t="str">
        <f t="shared" ca="1" si="2"/>
        <v>ECGDKR 24 Index</v>
      </c>
      <c r="M24" s="6" t="str">
        <f t="shared" ca="1" si="2"/>
        <v>ECGDKR 25 Index</v>
      </c>
      <c r="N24" s="6" t="str">
        <f t="shared" ca="1" si="2"/>
        <v>ECGDKR 25 Index</v>
      </c>
      <c r="O24" s="6" t="str">
        <f t="shared" ca="1" si="2"/>
        <v>ECGDKR 25 Index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</row>
    <row r="25" spans="1:55" ht="18.75" customHeight="1" thickBot="1">
      <c r="A25" s="1" t="s">
        <v>73</v>
      </c>
      <c r="B25" s="1" t="s">
        <v>74</v>
      </c>
      <c r="C25" s="1" t="s">
        <v>50</v>
      </c>
      <c r="D25" s="6" t="str">
        <f t="shared" ca="1" si="2"/>
        <v>ECGDPH 16 Index</v>
      </c>
      <c r="E25" s="6" t="str">
        <f t="shared" ca="1" si="2"/>
        <v>ECGDPH 17 Index</v>
      </c>
      <c r="F25" s="6" t="str">
        <f t="shared" ca="1" si="2"/>
        <v>ECGDPH 18 Index</v>
      </c>
      <c r="G25" s="6" t="str">
        <f t="shared" ca="1" si="2"/>
        <v>ECGDPH 19 Index</v>
      </c>
      <c r="H25" s="6" t="str">
        <f t="shared" ca="1" si="2"/>
        <v>ECGDPH 20 Index</v>
      </c>
      <c r="I25" s="6" t="str">
        <f t="shared" ca="1" si="2"/>
        <v>ECGDPH 21 Index</v>
      </c>
      <c r="J25" s="6" t="str">
        <f t="shared" ca="1" si="2"/>
        <v>ECGDPH 22 Index</v>
      </c>
      <c r="K25" s="6" t="str">
        <f t="shared" ca="1" si="2"/>
        <v>ECGDPH 23 Index</v>
      </c>
      <c r="L25" s="6" t="str">
        <f t="shared" ca="1" si="2"/>
        <v>ECGDPH 24 Index</v>
      </c>
      <c r="M25" s="6" t="str">
        <f t="shared" ca="1" si="2"/>
        <v>ECGDPH 25 Index</v>
      </c>
      <c r="N25" s="6" t="str">
        <f t="shared" ca="1" si="2"/>
        <v>ECGDPH 25 Index</v>
      </c>
      <c r="O25" s="6" t="str">
        <f t="shared" ca="1" si="2"/>
        <v>ECGDPH 25 Index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</row>
    <row r="26" spans="1:55" ht="18.75" customHeight="1" thickBot="1">
      <c r="A26" s="1" t="s">
        <v>76</v>
      </c>
      <c r="B26" s="1" t="s">
        <v>77</v>
      </c>
      <c r="C26" s="1" t="s">
        <v>50</v>
      </c>
      <c r="D26" s="6" t="str">
        <f t="shared" ca="1" si="2"/>
        <v>ECGDMX 16 Index</v>
      </c>
      <c r="E26" s="6" t="str">
        <f t="shared" ca="1" si="2"/>
        <v>ECGDMX 17 Index</v>
      </c>
      <c r="F26" s="6" t="str">
        <f t="shared" ca="1" si="2"/>
        <v>ECGDMX 18 Index</v>
      </c>
      <c r="G26" s="6" t="str">
        <f t="shared" ca="1" si="2"/>
        <v>ECGDMX 19 Index</v>
      </c>
      <c r="H26" s="6" t="str">
        <f t="shared" ca="1" si="2"/>
        <v>ECGDMX 20 Index</v>
      </c>
      <c r="I26" s="6" t="str">
        <f t="shared" ca="1" si="2"/>
        <v>ECGDMX 21 Index</v>
      </c>
      <c r="J26" s="6" t="str">
        <f t="shared" ca="1" si="2"/>
        <v>ECGDMX 22 Index</v>
      </c>
      <c r="K26" s="6" t="str">
        <f t="shared" ca="1" si="2"/>
        <v>ECGDMX 23 Index</v>
      </c>
      <c r="L26" s="6" t="str">
        <f t="shared" ca="1" si="2"/>
        <v>ECGDMX 24 Index</v>
      </c>
      <c r="M26" s="6" t="str">
        <f t="shared" ca="1" si="2"/>
        <v>ECGDMX 25 Index</v>
      </c>
      <c r="N26" s="6" t="str">
        <f t="shared" ca="1" si="2"/>
        <v>ECGDMX 25 Index</v>
      </c>
      <c r="O26" s="6" t="str">
        <f t="shared" ca="1" si="2"/>
        <v>ECGDMX 25 Index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</row>
    <row r="27" spans="1:55" ht="18.75" customHeight="1" thickBot="1">
      <c r="A27" s="1" t="s">
        <v>79</v>
      </c>
      <c r="B27" s="1" t="s">
        <v>80</v>
      </c>
      <c r="C27" s="1" t="s">
        <v>50</v>
      </c>
      <c r="D27" s="6" t="str">
        <f t="shared" ca="1" si="2"/>
        <v>ECGDBR 16 Index</v>
      </c>
      <c r="E27" s="6" t="str">
        <f t="shared" ca="1" si="2"/>
        <v>ECGDBR 17 Index</v>
      </c>
      <c r="F27" s="6" t="str">
        <f t="shared" ca="1" si="2"/>
        <v>ECGDBR 18 Index</v>
      </c>
      <c r="G27" s="6" t="str">
        <f t="shared" ca="1" si="2"/>
        <v>ECGDBR 19 Index</v>
      </c>
      <c r="H27" s="6" t="str">
        <f t="shared" ca="1" si="2"/>
        <v>ECGDBR 20 Index</v>
      </c>
      <c r="I27" s="6" t="str">
        <f t="shared" ca="1" si="2"/>
        <v>ECGDBR 21 Index</v>
      </c>
      <c r="J27" s="6" t="str">
        <f t="shared" ca="1" si="2"/>
        <v>ECGDBR 22 Index</v>
      </c>
      <c r="K27" s="6" t="str">
        <f t="shared" ca="1" si="2"/>
        <v>ECGDBR 23 Index</v>
      </c>
      <c r="L27" s="6" t="str">
        <f t="shared" ca="1" si="2"/>
        <v>ECGDBR 24 Index</v>
      </c>
      <c r="M27" s="6" t="str">
        <f t="shared" ca="1" si="2"/>
        <v>ECGDBR 25 Index</v>
      </c>
      <c r="N27" s="6" t="str">
        <f t="shared" ca="1" si="2"/>
        <v>ECGDBR 25 Index</v>
      </c>
      <c r="O27" s="6" t="str">
        <f t="shared" ca="1" si="2"/>
        <v>ECGDBR 25 Index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</row>
    <row r="28" spans="1:55" ht="18.75" customHeight="1" thickBot="1">
      <c r="A28" s="1" t="s">
        <v>82</v>
      </c>
      <c r="B28" s="1" t="s">
        <v>83</v>
      </c>
      <c r="C28" s="1" t="s">
        <v>50</v>
      </c>
      <c r="D28" s="6" t="str">
        <f t="shared" ca="1" si="2"/>
        <v>ECGDCL 16 Index</v>
      </c>
      <c r="E28" s="6" t="str">
        <f t="shared" ca="1" si="2"/>
        <v>ECGDCL 17 Index</v>
      </c>
      <c r="F28" s="6" t="str">
        <f t="shared" ca="1" si="2"/>
        <v>ECGDCL 18 Index</v>
      </c>
      <c r="G28" s="6" t="str">
        <f t="shared" ca="1" si="2"/>
        <v>ECGDCL 19 Index</v>
      </c>
      <c r="H28" s="6" t="str">
        <f t="shared" ca="1" si="2"/>
        <v>ECGDCL 20 Index</v>
      </c>
      <c r="I28" s="6" t="str">
        <f t="shared" ca="1" si="2"/>
        <v>ECGDCL 21 Index</v>
      </c>
      <c r="J28" s="6" t="str">
        <f t="shared" ca="1" si="2"/>
        <v>ECGDCL 22 Index</v>
      </c>
      <c r="K28" s="6" t="str">
        <f t="shared" ca="1" si="2"/>
        <v>ECGDCL 23 Index</v>
      </c>
      <c r="L28" s="6" t="str">
        <f t="shared" ca="1" si="2"/>
        <v>ECGDCL 24 Index</v>
      </c>
      <c r="M28" s="6" t="str">
        <f t="shared" ca="1" si="2"/>
        <v>ECGDCL 25 Index</v>
      </c>
      <c r="N28" s="6" t="str">
        <f t="shared" ca="1" si="2"/>
        <v>ECGDCL 25 Index</v>
      </c>
      <c r="O28" s="6" t="str">
        <f t="shared" ca="1" si="2"/>
        <v>ECGDCL 25 Index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</row>
    <row r="29" spans="1:55" ht="18.75" customHeight="1" thickBot="1">
      <c r="A29" s="1" t="s">
        <v>85</v>
      </c>
      <c r="B29" s="1" t="s">
        <v>86</v>
      </c>
      <c r="C29" s="1" t="s">
        <v>50</v>
      </c>
      <c r="D29" s="6" t="str">
        <f t="shared" ca="1" si="2"/>
        <v>ECGDCO 16 Index</v>
      </c>
      <c r="E29" s="6" t="str">
        <f t="shared" ca="1" si="2"/>
        <v>ECGDCO 17 Index</v>
      </c>
      <c r="F29" s="6" t="str">
        <f t="shared" ca="1" si="2"/>
        <v>ECGDCO 18 Index</v>
      </c>
      <c r="G29" s="6" t="str">
        <f t="shared" ca="1" si="2"/>
        <v>ECGDCO 19 Index</v>
      </c>
      <c r="H29" s="6" t="str">
        <f t="shared" ca="1" si="2"/>
        <v>ECGDCO 20 Index</v>
      </c>
      <c r="I29" s="6" t="str">
        <f t="shared" ca="1" si="2"/>
        <v>ECGDCO 21 Index</v>
      </c>
      <c r="J29" s="6" t="str">
        <f t="shared" ca="1" si="2"/>
        <v>ECGDCO 22 Index</v>
      </c>
      <c r="K29" s="6" t="str">
        <f t="shared" ca="1" si="2"/>
        <v>ECGDCO 23 Index</v>
      </c>
      <c r="L29" s="6" t="str">
        <f t="shared" ca="1" si="2"/>
        <v>ECGDCO 24 Index</v>
      </c>
      <c r="M29" s="6" t="str">
        <f t="shared" ca="1" si="2"/>
        <v>ECGDCO 25 Index</v>
      </c>
      <c r="N29" s="6" t="str">
        <f t="shared" ca="1" si="2"/>
        <v>ECGDCO 25 Index</v>
      </c>
      <c r="O29" s="6" t="str">
        <f t="shared" ca="1" si="2"/>
        <v>ECGDCO 25 Index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</row>
    <row r="30" spans="1:55" ht="18.75" customHeight="1" thickBot="1">
      <c r="A30" s="1" t="s">
        <v>88</v>
      </c>
      <c r="B30" s="1" t="s">
        <v>89</v>
      </c>
      <c r="C30" s="1" t="s">
        <v>50</v>
      </c>
      <c r="D30" s="6" t="str">
        <f t="shared" ca="1" si="2"/>
        <v>ECGDIN 16 Index</v>
      </c>
      <c r="E30" s="6" t="str">
        <f t="shared" ca="1" si="2"/>
        <v>ECGDIN 17 Index</v>
      </c>
      <c r="F30" s="6" t="str">
        <f t="shared" ca="1" si="2"/>
        <v>ECGDIN 18 Index</v>
      </c>
      <c r="G30" s="6" t="str">
        <f t="shared" ca="1" si="2"/>
        <v>ECGDIN 19 Index</v>
      </c>
      <c r="H30" s="6" t="str">
        <f t="shared" ca="1" si="2"/>
        <v>ECGDIN 20 Index</v>
      </c>
      <c r="I30" s="6" t="str">
        <f t="shared" ca="1" si="2"/>
        <v>ECGDIN 21 Index</v>
      </c>
      <c r="J30" s="6" t="str">
        <f t="shared" ca="1" si="2"/>
        <v>ECGDIN 22 Index</v>
      </c>
      <c r="K30" s="6" t="str">
        <f t="shared" ca="1" si="2"/>
        <v>ECGDIN 23 Index</v>
      </c>
      <c r="L30" s="6" t="str">
        <f t="shared" ca="1" si="2"/>
        <v>ECGDIN 24 Index</v>
      </c>
      <c r="M30" s="6" t="str">
        <f t="shared" ca="1" si="2"/>
        <v>ECGDIN 25 Index</v>
      </c>
      <c r="N30" s="6" t="str">
        <f t="shared" ca="1" si="2"/>
        <v>ECGDIN 25 Index</v>
      </c>
      <c r="O30" s="6" t="str">
        <f t="shared" ca="1" si="2"/>
        <v>ECGDIN 25 Index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</row>
    <row r="31" spans="1:55" ht="18.75" customHeight="1" thickBot="1">
      <c r="A31" s="1" t="s">
        <v>90</v>
      </c>
      <c r="B31" s="1" t="s">
        <v>91</v>
      </c>
      <c r="C31" s="1" t="s">
        <v>50</v>
      </c>
      <c r="D31" s="6" t="str">
        <f t="shared" ca="1" si="2"/>
        <v>ECGDRU 16 Index</v>
      </c>
      <c r="E31" s="6" t="str">
        <f t="shared" ca="1" si="2"/>
        <v>ECGDRU 17 Index</v>
      </c>
      <c r="F31" s="6" t="str">
        <f t="shared" ca="1" si="2"/>
        <v>ECGDRU 18 Index</v>
      </c>
      <c r="G31" s="6" t="str">
        <f t="shared" ca="1" si="2"/>
        <v>ECGDRU 19 Index</v>
      </c>
      <c r="H31" s="6" t="str">
        <f t="shared" ca="1" si="2"/>
        <v>ECGDRU 20 Index</v>
      </c>
      <c r="I31" s="6" t="str">
        <f t="shared" ca="1" si="2"/>
        <v>ECGDRU 21 Index</v>
      </c>
      <c r="J31" s="6" t="str">
        <f t="shared" ca="1" si="2"/>
        <v>ECGDRU 22 Index</v>
      </c>
      <c r="K31" s="6" t="str">
        <f t="shared" ca="1" si="2"/>
        <v>ECGDRU 23 Index</v>
      </c>
      <c r="L31" s="6" t="str">
        <f t="shared" ca="1" si="2"/>
        <v>ECGDRU 24 Index</v>
      </c>
      <c r="M31" s="6" t="str">
        <f t="shared" ca="1" si="2"/>
        <v>ECGDRU 25 Index</v>
      </c>
      <c r="N31" s="6" t="str">
        <f t="shared" ca="1" si="2"/>
        <v>ECGDRU 25 Index</v>
      </c>
      <c r="O31" s="6" t="str">
        <f t="shared" ca="1" si="2"/>
        <v>ECGDRU 25 Index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</row>
    <row r="32" spans="1:55" ht="18.75" customHeight="1" thickBot="1">
      <c r="A32" s="1" t="s">
        <v>93</v>
      </c>
      <c r="B32" s="1" t="s">
        <v>94</v>
      </c>
      <c r="C32" s="1" t="s">
        <v>50</v>
      </c>
      <c r="D32" s="6" t="str">
        <f t="shared" ca="1" si="2"/>
        <v>ECGDCZ 16 Index</v>
      </c>
      <c r="E32" s="6" t="str">
        <f t="shared" ca="1" si="2"/>
        <v>ECGDCZ 17 Index</v>
      </c>
      <c r="F32" s="6" t="str">
        <f t="shared" ca="1" si="2"/>
        <v>ECGDCZ 18 Index</v>
      </c>
      <c r="G32" s="6" t="str">
        <f t="shared" ca="1" si="2"/>
        <v>ECGDCZ 19 Index</v>
      </c>
      <c r="H32" s="6" t="str">
        <f t="shared" ca="1" si="2"/>
        <v>ECGDCZ 20 Index</v>
      </c>
      <c r="I32" s="6" t="str">
        <f t="shared" ca="1" si="2"/>
        <v>ECGDCZ 21 Index</v>
      </c>
      <c r="J32" s="6" t="str">
        <f t="shared" ca="1" si="2"/>
        <v>ECGDCZ 22 Index</v>
      </c>
      <c r="K32" s="6" t="str">
        <f t="shared" ca="1" si="2"/>
        <v>ECGDCZ 23 Index</v>
      </c>
      <c r="L32" s="6" t="str">
        <f t="shared" ca="1" si="2"/>
        <v>ECGDCZ 24 Index</v>
      </c>
      <c r="M32" s="6" t="str">
        <f t="shared" ca="1" si="2"/>
        <v>ECGDCZ 25 Index</v>
      </c>
      <c r="N32" s="6" t="str">
        <f t="shared" ca="1" si="2"/>
        <v>ECGDCZ 25 Index</v>
      </c>
      <c r="O32" s="6" t="str">
        <f t="shared" ca="1" si="2"/>
        <v>ECGDCZ 25 Index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</row>
    <row r="33" spans="1:55" ht="18.75" customHeight="1" thickBot="1">
      <c r="A33" s="1" t="s">
        <v>96</v>
      </c>
      <c r="B33" s="1" t="s">
        <v>97</v>
      </c>
      <c r="C33" s="1" t="s">
        <v>50</v>
      </c>
      <c r="D33" s="6" t="str">
        <f t="shared" ca="1" si="2"/>
        <v>ECGDHU 16 Index</v>
      </c>
      <c r="E33" s="6" t="str">
        <f t="shared" ca="1" si="2"/>
        <v>ECGDHU 17 Index</v>
      </c>
      <c r="F33" s="6" t="str">
        <f t="shared" ca="1" si="2"/>
        <v>ECGDHU 18 Index</v>
      </c>
      <c r="G33" s="6" t="str">
        <f t="shared" ca="1" si="2"/>
        <v>ECGDHU 19 Index</v>
      </c>
      <c r="H33" s="6" t="str">
        <f t="shared" ca="1" si="2"/>
        <v>ECGDHU 20 Index</v>
      </c>
      <c r="I33" s="6" t="str">
        <f t="shared" ca="1" si="2"/>
        <v>ECGDHU 21 Index</v>
      </c>
      <c r="J33" s="6" t="str">
        <f t="shared" ca="1" si="2"/>
        <v>ECGDHU 22 Index</v>
      </c>
      <c r="K33" s="6" t="str">
        <f t="shared" ca="1" si="2"/>
        <v>ECGDHU 23 Index</v>
      </c>
      <c r="L33" s="6" t="str">
        <f t="shared" ca="1" si="2"/>
        <v>ECGDHU 24 Index</v>
      </c>
      <c r="M33" s="6" t="str">
        <f t="shared" ca="1" si="2"/>
        <v>ECGDHU 25 Index</v>
      </c>
      <c r="N33" s="6" t="str">
        <f t="shared" ca="1" si="2"/>
        <v>ECGDHU 25 Index</v>
      </c>
      <c r="O33" s="6" t="str">
        <f t="shared" ca="1" si="2"/>
        <v>ECGDHU 25 Index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spans="1:55" ht="18.75" customHeight="1" thickBot="1">
      <c r="A34" s="1" t="s">
        <v>99</v>
      </c>
      <c r="B34" s="1" t="s">
        <v>100</v>
      </c>
      <c r="C34" s="1" t="s">
        <v>50</v>
      </c>
      <c r="D34" s="6" t="str">
        <f t="shared" ca="1" si="2"/>
        <v>ECGDPO 16 Index</v>
      </c>
      <c r="E34" s="6" t="str">
        <f t="shared" ca="1" si="2"/>
        <v>ECGDPO 17 Index</v>
      </c>
      <c r="F34" s="6" t="str">
        <f t="shared" ca="1" si="2"/>
        <v>ECGDPO 18 Index</v>
      </c>
      <c r="G34" s="6" t="str">
        <f t="shared" ca="1" si="2"/>
        <v>ECGDPO 19 Index</v>
      </c>
      <c r="H34" s="6" t="str">
        <f t="shared" ca="1" si="2"/>
        <v>ECGDPO 20 Index</v>
      </c>
      <c r="I34" s="6" t="str">
        <f t="shared" ca="1" si="2"/>
        <v>ECGDPO 21 Index</v>
      </c>
      <c r="J34" s="6" t="str">
        <f t="shared" ca="1" si="2"/>
        <v>ECGDPO 22 Index</v>
      </c>
      <c r="K34" s="6" t="str">
        <f t="shared" ca="1" si="2"/>
        <v>ECGDPO 23 Index</v>
      </c>
      <c r="L34" s="6" t="str">
        <f t="shared" ca="1" si="2"/>
        <v>ECGDPO 24 Index</v>
      </c>
      <c r="M34" s="6" t="str">
        <f t="shared" ca="1" si="2"/>
        <v>ECGDPO 25 Index</v>
      </c>
      <c r="N34" s="6" t="str">
        <f t="shared" ca="1" si="2"/>
        <v>ECGDPO 25 Index</v>
      </c>
      <c r="O34" s="6" t="str">
        <f t="shared" ca="1" si="2"/>
        <v>ECGDPO 25 Index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Exante</vt:lpstr>
      <vt:lpstr>BbgEcon</vt:lpstr>
      <vt:lpstr>BbgExport</vt:lpstr>
      <vt:lpstr>BbgCreditIm</vt:lpstr>
      <vt:lpstr>BbgEcon Latest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Guo Feng Koh</cp:lastModifiedBy>
  <dcterms:created xsi:type="dcterms:W3CDTF">2024-12-10T08:28:19Z</dcterms:created>
  <dcterms:modified xsi:type="dcterms:W3CDTF">2026-01-09T09:50:04Z</dcterms:modified>
</cp:coreProperties>
</file>